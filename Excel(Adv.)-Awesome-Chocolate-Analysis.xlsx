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1.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https://d.docs.live.net/3009b7824837c52e/Documents/Desktop/"/>
    </mc:Choice>
  </mc:AlternateContent>
  <xr:revisionPtr revIDLastSave="0" documentId="8_{5B4FCEAD-9D9F-443A-83BB-F9824BD25C68}" xr6:coauthVersionLast="47" xr6:coauthVersionMax="47" xr10:uidLastSave="{00000000-0000-0000-0000-000000000000}"/>
  <bookViews>
    <workbookView xWindow="-108" yWindow="-108" windowWidth="23256" windowHeight="12456" xr2:uid="{26D4546B-D2A1-4444-8EAF-A6228F96F0C1}"/>
  </bookViews>
  <sheets>
    <sheet name="Nz_Staff" sheetId="1" r:id="rId1"/>
    <sheet name="India_Staff" sheetId="2" r:id="rId2"/>
    <sheet name="All_STAFF" sheetId="3" r:id="rId3"/>
    <sheet name="Info_Founder_2.0" sheetId="4" r:id="rId4"/>
    <sheet name="Male Vs. Female" sheetId="5" r:id="rId5"/>
    <sheet name="Salary_Spread" sheetId="6" r:id="rId6"/>
    <sheet name="Salary Vs Rating" sheetId="7" r:id="rId7"/>
    <sheet name="Employee_Trend" sheetId="8" r:id="rId8"/>
    <sheet name="Report_Cart" sheetId="9" r:id="rId9"/>
    <sheet name="Pivot_Tables" sheetId="10" r:id="rId10"/>
  </sheets>
  <definedNames>
    <definedName name="_xlnm._FilterDatabase" localSheetId="1" hidden="1">India_Staff!$B$2:$H$114</definedName>
    <definedName name="_xlnm._FilterDatabase" localSheetId="0" hidden="1">Nz_Staff!$C$5:$I$105</definedName>
    <definedName name="_xlchart.v1.0" hidden="1">All_STAFF!$G$2:$G$184</definedName>
    <definedName name="_xlchart.v1.1" hidden="1">All_STAFF!$G$1</definedName>
    <definedName name="_xlchart.v1.2" hidden="1">All_STAFF!$G$2:$G$185</definedName>
    <definedName name="_xlchart.v1.3" hidden="1">All_STAFF!$G$2:$G$184</definedName>
    <definedName name="_xlcn.WorksheetConnection_blankdatafile.xlsxAll_Staff1" hidden="1">All_Staff[]</definedName>
    <definedName name="_xlcn.WorksheetConnection_blankdatafile.xlsxIndia_Staff1" hidden="1">India_Staff[]</definedName>
    <definedName name="ExternalData_1" localSheetId="2" hidden="1">All_STAFF!$A$1:$H$184</definedName>
    <definedName name="Slicer_Country">#N/A</definedName>
    <definedName name="Slicer_Country1">#N/A</definedName>
    <definedName name="Slicer_Department">#N/A</definedName>
  </definedNames>
  <calcPr calcId="191029"/>
  <pivotCaches>
    <pivotCache cacheId="117" r:id="rId11"/>
    <pivotCache cacheId="123" r:id="rId12"/>
    <pivotCache cacheId="162" r:id="rId13"/>
    <pivotCache cacheId="201" r:id="rId14"/>
    <pivotCache cacheId="357" r:id="rId15"/>
    <pivotCache cacheId="360" r:id="rId16"/>
  </pivotCaches>
  <extLst>
    <ext xmlns:x14="http://schemas.microsoft.com/office/spreadsheetml/2009/9/main" uri="{876F7934-8845-4945-9796-88D515C7AA90}">
      <x14:pivotCaches>
        <pivotCache cacheId="66" r:id="rId17"/>
        <pivotCache cacheId="288" r:id="rId18"/>
      </x14:pivotCaches>
    </ext>
    <ext xmlns:x14="http://schemas.microsoft.com/office/spreadsheetml/2009/9/main" uri="{BBE1A952-AA13-448e-AADC-164F8A28A991}">
      <x14:slicerCaches>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All_Staff" name="All_Staff" connection="WorksheetConnection_blank-data-file.xlsx!All_Staff"/>
          <x15:modelTable id="India_Staff" name="India_Staff" connection="WorksheetConnection_blank-data-file.xlsx!India_Staff"/>
        </x15:modelTables>
        <x15:extLst>
          <ext xmlns:x16="http://schemas.microsoft.com/office/spreadsheetml/2014/11/main" uri="{9835A34E-60A6-4A7C-AAB8-D5F71C897F49}">
            <x16:modelTimeGroupings>
              <x16:modelTimeGrouping tableName="India_Staff" columnName="Date Joined" columnId="Date Joined">
                <x16:calculatedTimeColumn columnName="Date Joined (Year)" columnId="Date Joined (Year)" contentType="years" isSelected="1"/>
                <x16:calculatedTimeColumn columnName="Date Joined (Quarter)" columnId="Date Joined (Quarter)" contentType="quarters" isSelected="1"/>
                <x16:calculatedTimeColumn columnName="Date Joined (Month Index)" columnId="Date Joined (Month Index)" contentType="monthsindex" isSelected="1"/>
                <x16:calculatedTimeColumn columnName="Date Joined (Month)" columnId="Date Joined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7" i="9" l="1"/>
  <c r="N7" i="9"/>
  <c r="P7" i="9" s="1"/>
  <c r="L7" i="9"/>
  <c r="H7" i="9"/>
  <c r="J7" i="9" s="1"/>
  <c r="K2" i="3"/>
  <c r="K3" i="3"/>
  <c r="K4" i="3"/>
  <c r="K5" i="3"/>
  <c r="K6" i="3"/>
  <c r="K7" i="3"/>
  <c r="K8" i="3"/>
  <c r="K9" i="3"/>
  <c r="K10" i="3"/>
  <c r="K11" i="3"/>
  <c r="K12" i="3"/>
  <c r="K13" i="3"/>
  <c r="K14" i="3"/>
  <c r="K15" i="3"/>
  <c r="K16" i="3"/>
  <c r="K17" i="3"/>
  <c r="K18" i="3"/>
  <c r="K19" i="3"/>
  <c r="K20" i="3"/>
  <c r="K21" i="3"/>
  <c r="K22" i="3"/>
  <c r="K23" i="3"/>
  <c r="K24" i="3"/>
  <c r="K25" i="3"/>
  <c r="K26" i="3"/>
  <c r="K27" i="3"/>
  <c r="K28" i="3"/>
  <c r="K29" i="3"/>
  <c r="K30" i="3"/>
  <c r="K31" i="3"/>
  <c r="K32" i="3"/>
  <c r="K33" i="3"/>
  <c r="K34" i="3"/>
  <c r="K35" i="3"/>
  <c r="K36" i="3"/>
  <c r="K37" i="3"/>
  <c r="K38" i="3"/>
  <c r="K39" i="3"/>
  <c r="K40" i="3"/>
  <c r="K41" i="3"/>
  <c r="K42" i="3"/>
  <c r="K43" i="3"/>
  <c r="K44" i="3"/>
  <c r="K45" i="3"/>
  <c r="K46" i="3"/>
  <c r="K47" i="3"/>
  <c r="K48" i="3"/>
  <c r="K49" i="3"/>
  <c r="K50" i="3"/>
  <c r="K51" i="3"/>
  <c r="K52" i="3"/>
  <c r="K53" i="3"/>
  <c r="K54" i="3"/>
  <c r="K55" i="3"/>
  <c r="K56" i="3"/>
  <c r="K57" i="3"/>
  <c r="K58" i="3"/>
  <c r="K59" i="3"/>
  <c r="K60" i="3"/>
  <c r="K61" i="3"/>
  <c r="K62" i="3"/>
  <c r="K63" i="3"/>
  <c r="K64" i="3"/>
  <c r="K65" i="3"/>
  <c r="K66" i="3"/>
  <c r="K67" i="3"/>
  <c r="K68" i="3"/>
  <c r="K69" i="3"/>
  <c r="K70" i="3"/>
  <c r="K71" i="3"/>
  <c r="K72" i="3"/>
  <c r="K73" i="3"/>
  <c r="K74" i="3"/>
  <c r="K75" i="3"/>
  <c r="K76" i="3"/>
  <c r="K77" i="3"/>
  <c r="K78" i="3"/>
  <c r="K79" i="3"/>
  <c r="K80" i="3"/>
  <c r="K81" i="3"/>
  <c r="K82" i="3"/>
  <c r="K83" i="3"/>
  <c r="K84" i="3"/>
  <c r="K85" i="3"/>
  <c r="K86" i="3"/>
  <c r="K87" i="3"/>
  <c r="K88" i="3"/>
  <c r="K89" i="3"/>
  <c r="K90" i="3"/>
  <c r="K91" i="3"/>
  <c r="K92" i="3"/>
  <c r="K93" i="3"/>
  <c r="K94" i="3"/>
  <c r="K95" i="3"/>
  <c r="K96" i="3"/>
  <c r="K97" i="3"/>
  <c r="K98" i="3"/>
  <c r="K99" i="3"/>
  <c r="K100" i="3"/>
  <c r="K101" i="3"/>
  <c r="K102" i="3"/>
  <c r="K103" i="3"/>
  <c r="K104" i="3"/>
  <c r="K105" i="3"/>
  <c r="K106" i="3"/>
  <c r="K107" i="3"/>
  <c r="K108" i="3"/>
  <c r="K109" i="3"/>
  <c r="K110" i="3"/>
  <c r="K111" i="3"/>
  <c r="K112" i="3"/>
  <c r="K113" i="3"/>
  <c r="K114" i="3"/>
  <c r="K115" i="3"/>
  <c r="K116" i="3"/>
  <c r="K117" i="3"/>
  <c r="K118" i="3"/>
  <c r="K119" i="3"/>
  <c r="K120" i="3"/>
  <c r="K121" i="3"/>
  <c r="K122" i="3"/>
  <c r="K123" i="3"/>
  <c r="K124" i="3"/>
  <c r="K125" i="3"/>
  <c r="K126" i="3"/>
  <c r="K127" i="3"/>
  <c r="K128" i="3"/>
  <c r="K129" i="3"/>
  <c r="K130" i="3"/>
  <c r="K131" i="3"/>
  <c r="K132" i="3"/>
  <c r="K133" i="3"/>
  <c r="K134" i="3"/>
  <c r="K135" i="3"/>
  <c r="K136" i="3"/>
  <c r="K137" i="3"/>
  <c r="K138" i="3"/>
  <c r="K139" i="3"/>
  <c r="K140" i="3"/>
  <c r="K141" i="3"/>
  <c r="K142" i="3"/>
  <c r="K143" i="3"/>
  <c r="K144" i="3"/>
  <c r="K145" i="3"/>
  <c r="K146" i="3"/>
  <c r="K147" i="3"/>
  <c r="K148" i="3"/>
  <c r="K149" i="3"/>
  <c r="K150" i="3"/>
  <c r="K151" i="3"/>
  <c r="K152" i="3"/>
  <c r="K153" i="3"/>
  <c r="K154" i="3"/>
  <c r="K155" i="3"/>
  <c r="K156" i="3"/>
  <c r="K157" i="3"/>
  <c r="K158" i="3"/>
  <c r="K159" i="3"/>
  <c r="K160" i="3"/>
  <c r="K161" i="3"/>
  <c r="K162" i="3"/>
  <c r="K163" i="3"/>
  <c r="K164" i="3"/>
  <c r="K165" i="3"/>
  <c r="K166" i="3"/>
  <c r="K167" i="3"/>
  <c r="K168" i="3"/>
  <c r="K169" i="3"/>
  <c r="K170" i="3"/>
  <c r="K171" i="3"/>
  <c r="K172" i="3"/>
  <c r="K173" i="3"/>
  <c r="K174" i="3"/>
  <c r="K175" i="3"/>
  <c r="K176" i="3"/>
  <c r="K177" i="3"/>
  <c r="K178" i="3"/>
  <c r="K179" i="3"/>
  <c r="K180" i="3"/>
  <c r="K181" i="3"/>
  <c r="K182" i="3"/>
  <c r="K183" i="3"/>
  <c r="K184" i="3"/>
  <c r="C185" i="3"/>
  <c r="G185" i="3"/>
  <c r="J2" i="3"/>
  <c r="J7" i="3"/>
  <c r="J8" i="3"/>
  <c r="J9" i="3"/>
  <c r="J10" i="3"/>
  <c r="J11" i="3"/>
  <c r="J12" i="3"/>
  <c r="J13" i="3"/>
  <c r="J14" i="3"/>
  <c r="J15" i="3"/>
  <c r="J16" i="3"/>
  <c r="J17" i="3"/>
  <c r="J18" i="3"/>
  <c r="J19" i="3"/>
  <c r="J3" i="3"/>
  <c r="J20" i="3"/>
  <c r="J21" i="3"/>
  <c r="J22" i="3"/>
  <c r="J23" i="3"/>
  <c r="J24" i="3"/>
  <c r="J25" i="3"/>
  <c r="J26" i="3"/>
  <c r="J27" i="3"/>
  <c r="J28" i="3"/>
  <c r="J29" i="3"/>
  <c r="J30" i="3"/>
  <c r="J31" i="3"/>
  <c r="J32" i="3"/>
  <c r="J33" i="3"/>
  <c r="J34" i="3"/>
  <c r="J35" i="3"/>
  <c r="J36" i="3"/>
  <c r="J37" i="3"/>
  <c r="J38" i="3"/>
  <c r="J39" i="3"/>
  <c r="J40" i="3"/>
  <c r="J41" i="3"/>
  <c r="J4"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J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6" i="3"/>
  <c r="J139" i="3"/>
  <c r="J140" i="3"/>
  <c r="J141" i="3"/>
  <c r="J142" i="3"/>
  <c r="J143" i="3"/>
  <c r="J144" i="3"/>
  <c r="J145" i="3"/>
  <c r="J146" i="3"/>
  <c r="J147" i="3"/>
  <c r="J148" i="3"/>
  <c r="J149" i="3"/>
  <c r="J150" i="3"/>
  <c r="J151" i="3"/>
  <c r="J152" i="3"/>
  <c r="J153" i="3"/>
  <c r="J154" i="3"/>
  <c r="J155" i="3"/>
  <c r="J156" i="3"/>
  <c r="J157" i="3"/>
  <c r="J158" i="3"/>
  <c r="J159" i="3"/>
  <c r="J160" i="3"/>
  <c r="J161" i="3"/>
  <c r="J162" i="3"/>
  <c r="J163" i="3"/>
  <c r="J164" i="3"/>
  <c r="J165" i="3"/>
  <c r="J166" i="3"/>
  <c r="J167" i="3"/>
  <c r="J168" i="3"/>
  <c r="J169" i="3"/>
  <c r="J170" i="3"/>
  <c r="J171" i="3"/>
  <c r="J172" i="3"/>
  <c r="J173" i="3"/>
  <c r="J174" i="3"/>
  <c r="J175" i="3"/>
  <c r="J176" i="3"/>
  <c r="J177" i="3"/>
  <c r="J178" i="3"/>
  <c r="J179" i="3"/>
  <c r="J180" i="3"/>
  <c r="J181" i="3"/>
  <c r="J182" i="3"/>
  <c r="J183" i="3"/>
  <c r="J184" i="3"/>
  <c r="T12" i="3"/>
  <c r="T14" i="3"/>
  <c r="T9" i="3"/>
  <c r="T7" i="3"/>
  <c r="I2" i="3"/>
  <c r="I7" i="3"/>
  <c r="I8" i="3"/>
  <c r="I9" i="3"/>
  <c r="I10" i="3"/>
  <c r="I11" i="3"/>
  <c r="I12" i="3"/>
  <c r="I13" i="3"/>
  <c r="I14" i="3"/>
  <c r="I15" i="3"/>
  <c r="I16" i="3"/>
  <c r="I17" i="3"/>
  <c r="I18" i="3"/>
  <c r="I19" i="3"/>
  <c r="I3" i="3"/>
  <c r="I20" i="3"/>
  <c r="I21" i="3"/>
  <c r="I22" i="3"/>
  <c r="I23" i="3"/>
  <c r="I24" i="3"/>
  <c r="I25" i="3"/>
  <c r="I26" i="3"/>
  <c r="I27" i="3"/>
  <c r="I28" i="3"/>
  <c r="I29" i="3"/>
  <c r="I30" i="3"/>
  <c r="I31" i="3"/>
  <c r="I32" i="3"/>
  <c r="I33" i="3"/>
  <c r="I34" i="3"/>
  <c r="I35" i="3"/>
  <c r="I36" i="3"/>
  <c r="I37" i="3"/>
  <c r="I38" i="3"/>
  <c r="I39" i="3"/>
  <c r="I40" i="3"/>
  <c r="I41" i="3"/>
  <c r="I4" i="3"/>
  <c r="I42" i="3"/>
  <c r="I43" i="3"/>
  <c r="I44" i="3"/>
  <c r="I45" i="3"/>
  <c r="I46" i="3"/>
  <c r="I47" i="3"/>
  <c r="I48" i="3"/>
  <c r="I49" i="3"/>
  <c r="I50" i="3"/>
  <c r="I51" i="3"/>
  <c r="I52" i="3"/>
  <c r="I53" i="3"/>
  <c r="I54" i="3"/>
  <c r="I55" i="3"/>
  <c r="I56" i="3"/>
  <c r="I57" i="3"/>
  <c r="I58" i="3"/>
  <c r="I59" i="3"/>
  <c r="I60" i="3"/>
  <c r="I61" i="3"/>
  <c r="I62" i="3"/>
  <c r="I63" i="3"/>
  <c r="I64" i="3"/>
  <c r="I65" i="3"/>
  <c r="I66" i="3"/>
  <c r="I67" i="3"/>
  <c r="I68" i="3"/>
  <c r="I69" i="3"/>
  <c r="I70" i="3"/>
  <c r="I71" i="3"/>
  <c r="I72" i="3"/>
  <c r="I73" i="3"/>
  <c r="I74" i="3"/>
  <c r="I75" i="3"/>
  <c r="I76" i="3"/>
  <c r="I77" i="3"/>
  <c r="I78" i="3"/>
  <c r="I79" i="3"/>
  <c r="I80" i="3"/>
  <c r="I81" i="3"/>
  <c r="I82" i="3"/>
  <c r="I83" i="3"/>
  <c r="I84" i="3"/>
  <c r="I85" i="3"/>
  <c r="I86" i="3"/>
  <c r="I87" i="3"/>
  <c r="I88" i="3"/>
  <c r="I89" i="3"/>
  <c r="I90" i="3"/>
  <c r="I91" i="3"/>
  <c r="I92" i="3"/>
  <c r="I93" i="3"/>
  <c r="I94" i="3"/>
  <c r="I95" i="3"/>
  <c r="I5" i="3"/>
  <c r="I96" i="3"/>
  <c r="I97" i="3"/>
  <c r="I98" i="3"/>
  <c r="I99" i="3"/>
  <c r="I100" i="3"/>
  <c r="I101" i="3"/>
  <c r="I102" i="3"/>
  <c r="I103" i="3"/>
  <c r="I104" i="3"/>
  <c r="I105" i="3"/>
  <c r="I106" i="3"/>
  <c r="I107" i="3"/>
  <c r="I108" i="3"/>
  <c r="I109" i="3"/>
  <c r="I110" i="3"/>
  <c r="I111" i="3"/>
  <c r="I112" i="3"/>
  <c r="I113" i="3"/>
  <c r="I114" i="3"/>
  <c r="I115" i="3"/>
  <c r="I116" i="3"/>
  <c r="I117" i="3"/>
  <c r="I118" i="3"/>
  <c r="I119" i="3"/>
  <c r="I120" i="3"/>
  <c r="I121" i="3"/>
  <c r="I122" i="3"/>
  <c r="I123" i="3"/>
  <c r="I124" i="3"/>
  <c r="I125" i="3"/>
  <c r="I126" i="3"/>
  <c r="I127" i="3"/>
  <c r="I128" i="3"/>
  <c r="I129" i="3"/>
  <c r="I130" i="3"/>
  <c r="I131" i="3"/>
  <c r="I132" i="3"/>
  <c r="I133" i="3"/>
  <c r="I134" i="3"/>
  <c r="I135" i="3"/>
  <c r="I136" i="3"/>
  <c r="I137" i="3"/>
  <c r="I138" i="3"/>
  <c r="I6" i="3"/>
  <c r="I139" i="3"/>
  <c r="I140" i="3"/>
  <c r="I141" i="3"/>
  <c r="I142" i="3"/>
  <c r="I143" i="3"/>
  <c r="I144" i="3"/>
  <c r="I145" i="3"/>
  <c r="I146" i="3"/>
  <c r="I147" i="3"/>
  <c r="I148" i="3"/>
  <c r="I149" i="3"/>
  <c r="I150" i="3"/>
  <c r="I151" i="3"/>
  <c r="I152" i="3"/>
  <c r="I153" i="3"/>
  <c r="I154" i="3"/>
  <c r="I155" i="3"/>
  <c r="I156" i="3"/>
  <c r="I157" i="3"/>
  <c r="I158" i="3"/>
  <c r="I159" i="3"/>
  <c r="I160" i="3"/>
  <c r="I161" i="3"/>
  <c r="I162" i="3"/>
  <c r="I163" i="3"/>
  <c r="I164" i="3"/>
  <c r="I165" i="3"/>
  <c r="I166" i="3"/>
  <c r="I167" i="3"/>
  <c r="I168" i="3"/>
  <c r="I169" i="3"/>
  <c r="I170" i="3"/>
  <c r="I171" i="3"/>
  <c r="I172" i="3"/>
  <c r="I173" i="3"/>
  <c r="I174" i="3"/>
  <c r="I175" i="3"/>
  <c r="I176" i="3"/>
  <c r="I177" i="3"/>
  <c r="I178" i="3"/>
  <c r="I179" i="3"/>
  <c r="I180" i="3"/>
  <c r="I181" i="3"/>
  <c r="I182" i="3"/>
  <c r="I183" i="3"/>
  <c r="I184" i="3"/>
  <c r="U4" i="3"/>
  <c r="U3" i="3"/>
  <c r="T4" i="3"/>
  <c r="T3" i="3"/>
  <c r="T2" i="3"/>
  <c r="F106" i="1"/>
  <c r="H106" i="1"/>
  <c r="I106" i="1"/>
  <c r="J185" i="3" l="1"/>
  <c r="I185" i="3"/>
  <c r="T13" i="3"/>
  <c r="B6" i="4" a="1"/>
  <c r="R20" i="3" a="1"/>
  <c r="R20" i="3" s="1"/>
  <c r="T11" i="3"/>
  <c r="T10" i="3" s="1"/>
  <c r="T6" i="3"/>
  <c r="T8" i="3"/>
  <c r="U5" i="3"/>
  <c r="T5" i="3"/>
  <c r="H60" i="4" l="1"/>
  <c r="J60" i="4"/>
  <c r="B6" i="4"/>
  <c r="D60"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21DF3B4-3E77-4BDB-AB74-939A2F6EAFA0}" keepAlive="1" name="Query - All_Staff" description="Connection to the 'All_Staff' query in the workbook." type="5" refreshedVersion="8" background="1" saveData="1">
    <dbPr connection="Provider=Microsoft.Mashup.OleDb.1;Data Source=$Workbook$;Location=All_Staff;Extended Properties=&quot;&quot;" command="SELECT * FROM [All_Staff]"/>
  </connection>
  <connection id="2" xr16:uid="{5F2CBE98-83EB-468D-B6CD-F4A2BF5AAFFA}" keepAlive="1" name="Query - India_Staff" description="Connection to the 'India_Staff' query in the workbook." type="5" refreshedVersion="0" background="1">
    <dbPr connection="Provider=Microsoft.Mashup.OleDb.1;Data Source=$Workbook$;Location=India_Staff;Extended Properties=&quot;&quot;" command="SELECT * FROM [India_Staff]"/>
  </connection>
  <connection id="3" xr16:uid="{D4B04D52-7AA4-4C7A-8511-F55C98E2F5E6}" keepAlive="1" name="Query - Nz_Staff" description="Connection to the 'Nz_Staff' query in the workbook." type="5" refreshedVersion="0" background="1">
    <dbPr connection="Provider=Microsoft.Mashup.OleDb.1;Data Source=$Workbook$;Location=Nz_Staff;Extended Properties=&quot;&quot;" command="SELECT * FROM [Nz_Staff]"/>
  </connection>
  <connection id="4" xr16:uid="{3CDF61F7-799D-4564-BB22-AC1ECA19895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BC5FBE08-B209-4E5C-9748-40E7947A7F92}" name="WorksheetConnection_blank-data-file.xlsx!All_Staff" type="102" refreshedVersion="8" minRefreshableVersion="5">
    <extLst>
      <ext xmlns:x15="http://schemas.microsoft.com/office/spreadsheetml/2010/11/main" uri="{DE250136-89BD-433C-8126-D09CA5730AF9}">
        <x15:connection id="All_Staff" autoDelete="1">
          <x15:rangePr sourceName="_xlcn.WorksheetConnection_blankdatafile.xlsxAll_Staff1"/>
        </x15:connection>
      </ext>
    </extLst>
  </connection>
  <connection id="6" xr16:uid="{F54E7EC4-26EC-418F-809E-97B3E628FC0F}" name="WorksheetConnection_blank-data-file.xlsx!India_Staff" type="102" refreshedVersion="8" minRefreshableVersion="5">
    <extLst>
      <ext xmlns:x15="http://schemas.microsoft.com/office/spreadsheetml/2010/11/main" uri="{DE250136-89BD-433C-8126-D09CA5730AF9}">
        <x15:connection id="India_Staff">
          <x15:rangePr sourceName="_xlcn.WorksheetConnection_blankdatafile.xlsxIndia_Staff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MDX"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metadataStrings count="2">
    <s v="ThisWorkbookDataModel"/>
    <s v="{[All_Staff].[Country].[All]}"/>
  </metadataStrings>
  <mdxMetadata count="1">
    <mdx n="0" f="s">
      <ms ns="1" c="0"/>
    </mdx>
  </mdxMetadata>
  <futureMetadata name="XLDAPR" count="1">
    <bk>
      <extLst>
        <ext uri="{bdbb8cdc-fa1e-496e-a857-3c3f30c029c3}">
          <xda:dynamicArrayProperties fDynamic="1" fCollapsed="0"/>
        </ext>
      </extLst>
    </bk>
  </futureMetadata>
  <cellMetadata count="1">
    <bk>
      <rc t="2" v="0"/>
    </bk>
  </cellMetadata>
  <valueMetadata count="1">
    <bk>
      <rc t="1" v="0"/>
    </bk>
  </valueMetadata>
</metadata>
</file>

<file path=xl/sharedStrings.xml><?xml version="1.0" encoding="utf-8"?>
<sst xmlns="http://schemas.openxmlformats.org/spreadsheetml/2006/main" count="1892" uniqueCount="257">
  <si>
    <t>Name</t>
  </si>
  <si>
    <t>Gender</t>
  </si>
  <si>
    <t>Department</t>
  </si>
  <si>
    <t>Age</t>
  </si>
  <si>
    <t>Date Joined</t>
  </si>
  <si>
    <t>Salary</t>
  </si>
  <si>
    <t>Rating</t>
  </si>
  <si>
    <t>Barr Faughny</t>
  </si>
  <si>
    <t>Female</t>
  </si>
  <si>
    <t>Procurement</t>
  </si>
  <si>
    <t>Exceptional</t>
  </si>
  <si>
    <t>Dennison Crosswaite</t>
  </si>
  <si>
    <t>Website</t>
  </si>
  <si>
    <t>Above average</t>
  </si>
  <si>
    <t>Gunar Cockshoot</t>
  </si>
  <si>
    <t>Male</t>
  </si>
  <si>
    <t>Average</t>
  </si>
  <si>
    <t>Wilone O'Kielt</t>
  </si>
  <si>
    <t>Gigi Bohling</t>
  </si>
  <si>
    <t>Sales</t>
  </si>
  <si>
    <t>Curtice Advani</t>
  </si>
  <si>
    <t>Finance</t>
  </si>
  <si>
    <t>Kaine Padly</t>
  </si>
  <si>
    <t>Ches Bonnell</t>
  </si>
  <si>
    <t>Poor</t>
  </si>
  <si>
    <t>Andria Kimpton</t>
  </si>
  <si>
    <t>Brien Boise</t>
  </si>
  <si>
    <t>Husein Augar</t>
  </si>
  <si>
    <t>Karlen McCaffrey</t>
  </si>
  <si>
    <t>Jan Morforth</t>
  </si>
  <si>
    <t>Dotty Strutley</t>
  </si>
  <si>
    <t>Kelci Walkden</t>
  </si>
  <si>
    <t>Marney O'Breen</t>
  </si>
  <si>
    <t>Rafaelita Blaksland</t>
  </si>
  <si>
    <t>Madelene Upcott</t>
  </si>
  <si>
    <t>Beverie Moffet</t>
  </si>
  <si>
    <t>Oby Sorrel</t>
  </si>
  <si>
    <t>Mallorie Waber</t>
  </si>
  <si>
    <t>Jehu Rudeforth</t>
  </si>
  <si>
    <t>Van Tuxwell</t>
  </si>
  <si>
    <t>Roddy Speechley</t>
  </si>
  <si>
    <t>Camilla Castle</t>
  </si>
  <si>
    <t>Very poor</t>
  </si>
  <si>
    <t>Janene Hairsine</t>
  </si>
  <si>
    <t>Niall Selesnick</t>
  </si>
  <si>
    <t>Ebonee Roxburgh</t>
  </si>
  <si>
    <t>Zach Polon</t>
  </si>
  <si>
    <t>Orton Livick</t>
  </si>
  <si>
    <t>Gray Seamon</t>
  </si>
  <si>
    <t>Benny Karolovsky</t>
  </si>
  <si>
    <t>Dyna Doucette</t>
  </si>
  <si>
    <t>Erin Androsik</t>
  </si>
  <si>
    <t>Madge McCloughen</t>
  </si>
  <si>
    <t>Esmaria Denecamp</t>
  </si>
  <si>
    <t>Hogan Iles</t>
  </si>
  <si>
    <t>Valentia Etteridge</t>
  </si>
  <si>
    <t>HR</t>
  </si>
  <si>
    <t>Archibald Filliskirk</t>
  </si>
  <si>
    <t>Lindy Guillet</t>
  </si>
  <si>
    <t>Dell Molloy</t>
  </si>
  <si>
    <t>Ewart Laphorn</t>
  </si>
  <si>
    <t>Vic Radolf</t>
  </si>
  <si>
    <t>Virginia McConville</t>
  </si>
  <si>
    <t>Kaye Crocroft</t>
  </si>
  <si>
    <t>Mollie Hanway</t>
  </si>
  <si>
    <t>Hoyt D'Alesco</t>
  </si>
  <si>
    <t>Crissie Cordel</t>
  </si>
  <si>
    <t>Myer McCory</t>
  </si>
  <si>
    <t>Enoch Dowrey</t>
  </si>
  <si>
    <t>Kissiah Maydway</t>
  </si>
  <si>
    <t>Ambros Murthwaite</t>
  </si>
  <si>
    <t>Torrance Collier</t>
  </si>
  <si>
    <t>Allene Gobbet</t>
  </si>
  <si>
    <t>Violante Courtonne</t>
  </si>
  <si>
    <t>Merrilee Plenty</t>
  </si>
  <si>
    <t>Tatum Hush</t>
  </si>
  <si>
    <t>Kath Bletsoe</t>
  </si>
  <si>
    <t>Hinda Label</t>
  </si>
  <si>
    <t>Shari McNee</t>
  </si>
  <si>
    <t>My Hanscome</t>
  </si>
  <si>
    <t>Drusy MacCombe</t>
  </si>
  <si>
    <t>Halimeda Kuscha</t>
  </si>
  <si>
    <t>William Reeveley</t>
  </si>
  <si>
    <t>Tracy Renad</t>
  </si>
  <si>
    <t>Kassi Jonson</t>
  </si>
  <si>
    <t>Constantino Espley</t>
  </si>
  <si>
    <t>Gretchen Callow</t>
  </si>
  <si>
    <t>Bev Lashley</t>
  </si>
  <si>
    <t>Sibyl Dunkirk</t>
  </si>
  <si>
    <t>Alta Kaszper</t>
  </si>
  <si>
    <t>Shayne Stegel</t>
  </si>
  <si>
    <t>Hyacinthie Braybrooke</t>
  </si>
  <si>
    <t>Agnes Collicott</t>
  </si>
  <si>
    <t>Teressa Udden</t>
  </si>
  <si>
    <t>Bennie Pepis</t>
  </si>
  <si>
    <t>Elia Cockton</t>
  </si>
  <si>
    <t>Cherlyn Barter</t>
  </si>
  <si>
    <t>Murry Dryburgh</t>
  </si>
  <si>
    <t>Mahalia Larcher</t>
  </si>
  <si>
    <t>Bili Sizey</t>
  </si>
  <si>
    <t>Lilyan Klimpt</t>
  </si>
  <si>
    <t>Caro Chappel</t>
  </si>
  <si>
    <t>Leilah Yesinin</t>
  </si>
  <si>
    <t>Collin Jagson</t>
  </si>
  <si>
    <t>Kellsie Waby</t>
  </si>
  <si>
    <t>Simon Kembery</t>
  </si>
  <si>
    <t>Tawnya Tickel</t>
  </si>
  <si>
    <t>Bernie Gorges</t>
  </si>
  <si>
    <t>Florinda Crace</t>
  </si>
  <si>
    <t>Oran Buxcy</t>
  </si>
  <si>
    <t>Employee Data</t>
  </si>
  <si>
    <t>Nanak Sapna</t>
  </si>
  <si>
    <t>Karuna Pashupathy</t>
  </si>
  <si>
    <t>Amal Nimesh</t>
  </si>
  <si>
    <t>Ramnath Ravuri</t>
  </si>
  <si>
    <t>Yauvani Tarpa</t>
  </si>
  <si>
    <t>Upendra Swati</t>
  </si>
  <si>
    <t>Hridaynath Tendulkar</t>
  </si>
  <si>
    <t>Gangadutt Ragha</t>
  </si>
  <si>
    <t>Rameshwari Chikodi</t>
  </si>
  <si>
    <t>Pratigya Rema</t>
  </si>
  <si>
    <t>Kantimoy Pritish</t>
  </si>
  <si>
    <t>Tarala Vishaal</t>
  </si>
  <si>
    <t>Ardhendu Abhichandra Jayakar</t>
  </si>
  <si>
    <t>Jagajeet Viraj</t>
  </si>
  <si>
    <t>Shattesh Utpat</t>
  </si>
  <si>
    <t>Agrata Rajarama</t>
  </si>
  <si>
    <t>Sawini Chandan</t>
  </si>
  <si>
    <t>Damayanti Thangavadivelu</t>
  </si>
  <si>
    <t>Indu Varada Sumedh</t>
  </si>
  <si>
    <t>Krittika Gaekwad</t>
  </si>
  <si>
    <t>Mardav Ramaswami</t>
  </si>
  <si>
    <t>Lalit Kothari</t>
  </si>
  <si>
    <t>Bhuvan Pals</t>
  </si>
  <si>
    <t>Sarayu Ragunathan</t>
  </si>
  <si>
    <t>Ayog Chakrabarti</t>
  </si>
  <si>
    <t>Shevantilal Muppala</t>
  </si>
  <si>
    <t>Suchira Bhanupriya Tapti</t>
  </si>
  <si>
    <t>Mahindra Sreedharan</t>
  </si>
  <si>
    <t>Chitrasen Laul</t>
  </si>
  <si>
    <t>Akbar Sorabhjee</t>
  </si>
  <si>
    <t>Shulabh Qutub Sundaramoorthy</t>
  </si>
  <si>
    <t>Sahila Chandrasekhar</t>
  </si>
  <si>
    <t>Satyendra Venkatadri</t>
  </si>
  <si>
    <t>Piyali Mahanthapa</t>
  </si>
  <si>
    <t>Rukma Vinita</t>
  </si>
  <si>
    <t>Vanmala Shriharsha</t>
  </si>
  <si>
    <t>Sarojini Naueshwara</t>
  </si>
  <si>
    <t>Kaishori Harathi Kateel</t>
  </si>
  <si>
    <t>Shobhana Samuel</t>
  </si>
  <si>
    <t>Krishnakanta Vellanki</t>
  </si>
  <si>
    <t>Shiuli Sapna</t>
  </si>
  <si>
    <t>Anjushri Chandiramani</t>
  </si>
  <si>
    <t>Fullara Sushanti Mokate</t>
  </si>
  <si>
    <t>Shreela Ramasubraman</t>
  </si>
  <si>
    <t>Gumwant Veera</t>
  </si>
  <si>
    <t>Deepali Charan</t>
  </si>
  <si>
    <t>Geena Raghavanpillai</t>
  </si>
  <si>
    <t>Prerana Nishita</t>
  </si>
  <si>
    <t>Shekhar Eswara</t>
  </si>
  <si>
    <t>Kamalakshi Mukundan</t>
  </si>
  <si>
    <t>Sahas Sanabhi Shrikant</t>
  </si>
  <si>
    <t>Ranajay Kailashnath Richa</t>
  </si>
  <si>
    <t>Sukhdev Nageshwar</t>
  </si>
  <si>
    <t>Rushil Kripa</t>
  </si>
  <si>
    <t>Daruka Ghazali</t>
  </si>
  <si>
    <t>Godavari Veena</t>
  </si>
  <si>
    <t>Anumati Shyamari Meherhomji</t>
  </si>
  <si>
    <t>Abhaya Priyavardhan</t>
  </si>
  <si>
    <t>Purnendu Vijayarangan</t>
  </si>
  <si>
    <t>Sameer Shashank Sapra</t>
  </si>
  <si>
    <t>Asija Pothireddy</t>
  </si>
  <si>
    <t>Rupak Mehra</t>
  </si>
  <si>
    <t>Makshi Vinutha</t>
  </si>
  <si>
    <t>Pragya Nilufar</t>
  </si>
  <si>
    <t>Dhruv Manjunath</t>
  </si>
  <si>
    <t>Yagna Sujeev</t>
  </si>
  <si>
    <t>Mithil Nadkarni</t>
  </si>
  <si>
    <t>Bandhula Sathyanna</t>
  </si>
  <si>
    <t>Shubhra Potla</t>
  </si>
  <si>
    <t>Narois Motiwala</t>
  </si>
  <si>
    <t>Madhumati Gazala Soumitra</t>
  </si>
  <si>
    <t>Sanchali Shirish</t>
  </si>
  <si>
    <t>Chandana Sannidhi Surnilla</t>
  </si>
  <si>
    <t>Devasree Fullara Saurin</t>
  </si>
  <si>
    <t>Kunja Prashanta Vibha</t>
  </si>
  <si>
    <t>Kevalkumar Solanki</t>
  </si>
  <si>
    <t>Kulbhushan Moorthy</t>
  </si>
  <si>
    <t>Hemavati Muthiah</t>
  </si>
  <si>
    <t>Sartaj Probal</t>
  </si>
  <si>
    <t>Jaishree Atasi Yavatkar</t>
  </si>
  <si>
    <t>Ilesh Dasgupta</t>
  </si>
  <si>
    <t>Waheeda Vasuman</t>
  </si>
  <si>
    <t>Vinanti Choudhari</t>
  </si>
  <si>
    <t>Manjusri Ruchi</t>
  </si>
  <si>
    <t>Deepit Ranjana</t>
  </si>
  <si>
    <t>Amlankusum Rajabhushan</t>
  </si>
  <si>
    <t>Udyan Lanka</t>
  </si>
  <si>
    <t>Baruna Ogale</t>
  </si>
  <si>
    <t>Heer Pennathur</t>
  </si>
  <si>
    <t>Vasu Nandin</t>
  </si>
  <si>
    <t>Madhavdas Buhpathi</t>
  </si>
  <si>
    <t>Mirium Seemantini Shivakumar</t>
  </si>
  <si>
    <t>Total</t>
  </si>
  <si>
    <t>Country</t>
  </si>
  <si>
    <t>IND</t>
  </si>
  <si>
    <t>Other</t>
  </si>
  <si>
    <t>NZ</t>
  </si>
  <si>
    <t>Bussiness Requerments</t>
  </si>
  <si>
    <t>Count Of Employee</t>
  </si>
  <si>
    <t>Average Salary</t>
  </si>
  <si>
    <t>Average Age</t>
  </si>
  <si>
    <t>Average Tenure</t>
  </si>
  <si>
    <t>Female Ratio %</t>
  </si>
  <si>
    <t>Output</t>
  </si>
  <si>
    <t>Tenure</t>
  </si>
  <si>
    <t>Median</t>
  </si>
  <si>
    <t>Female Count</t>
  </si>
  <si>
    <t>Male Ratio %</t>
  </si>
  <si>
    <t>Male Count</t>
  </si>
  <si>
    <t>Other Ratio</t>
  </si>
  <si>
    <t>Other Count</t>
  </si>
  <si>
    <t>Ration of salary &gt; 90,000$</t>
  </si>
  <si>
    <t>Total Salary(All EMP)</t>
  </si>
  <si>
    <t>SUM Of Employee(Salary&gt;90,000$)</t>
  </si>
  <si>
    <t>DOB</t>
  </si>
  <si>
    <t>Total,Average</t>
  </si>
  <si>
    <t>Male Vs. Female</t>
  </si>
  <si>
    <t>Column Labels</t>
  </si>
  <si>
    <t>Grand Total</t>
  </si>
  <si>
    <t>Sum of Salary</t>
  </si>
  <si>
    <t>Row Labels</t>
  </si>
  <si>
    <t>Average of Age</t>
  </si>
  <si>
    <t>Count of Name</t>
  </si>
  <si>
    <t>Values</t>
  </si>
  <si>
    <t>Average of Tenure</t>
  </si>
  <si>
    <t>Bonus</t>
  </si>
  <si>
    <t>DOJ</t>
  </si>
  <si>
    <t>Average of Salary</t>
  </si>
  <si>
    <t>Rating Number</t>
  </si>
  <si>
    <t>Rating_Count</t>
  </si>
  <si>
    <t>2020</t>
  </si>
  <si>
    <t>May</t>
  </si>
  <si>
    <t>Jun</t>
  </si>
  <si>
    <t>Jul</t>
  </si>
  <si>
    <t>Aug</t>
  </si>
  <si>
    <t>Sep</t>
  </si>
  <si>
    <t>Oct</t>
  </si>
  <si>
    <t>Nov</t>
  </si>
  <si>
    <t>Dec</t>
  </si>
  <si>
    <t>2021</t>
  </si>
  <si>
    <t>2022</t>
  </si>
  <si>
    <t>2023</t>
  </si>
  <si>
    <t>All</t>
  </si>
  <si>
    <t>HeadCount By Departmet</t>
  </si>
  <si>
    <t>INDIA</t>
  </si>
  <si>
    <t>NEWZLAND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</si>
</sst>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_);[Red]\(&quot;$&quot;#,##0.00\)"/>
    <numFmt numFmtId="168" formatCode="&quot;$&quot;#,##0.00"/>
  </numFmts>
  <fonts count="14" x14ac:knownFonts="1">
    <font>
      <sz val="11"/>
      <color theme="1"/>
      <name val="Calibri"/>
      <family val="2"/>
      <scheme val="minor"/>
    </font>
    <font>
      <sz val="28"/>
      <color theme="1"/>
      <name val="Segoe UI Light"/>
      <family val="2"/>
    </font>
    <font>
      <b/>
      <sz val="11"/>
      <color theme="0"/>
      <name val="Calibri"/>
      <family val="2"/>
      <scheme val="minor"/>
    </font>
    <font>
      <b/>
      <sz val="11"/>
      <color theme="1"/>
      <name val="Calibri"/>
      <family val="2"/>
      <scheme val="minor"/>
    </font>
    <font>
      <b/>
      <sz val="16"/>
      <color theme="1"/>
      <name val="Calibri"/>
      <family val="2"/>
      <scheme val="minor"/>
    </font>
    <font>
      <b/>
      <sz val="14"/>
      <color theme="1"/>
      <name val="Calibri"/>
      <family val="2"/>
      <scheme val="minor"/>
    </font>
    <font>
      <b/>
      <sz val="18"/>
      <color theme="1"/>
      <name val="Calibri"/>
      <family val="2"/>
      <scheme val="minor"/>
    </font>
    <font>
      <sz val="9"/>
      <color theme="1"/>
      <name val="Calibri"/>
      <family val="2"/>
      <scheme val="minor"/>
    </font>
    <font>
      <sz val="24"/>
      <color theme="1"/>
      <name val="Segoe UI Black"/>
      <family val="2"/>
    </font>
    <font>
      <sz val="18"/>
      <color theme="0"/>
      <name val="Segoe UI Black"/>
      <family val="2"/>
    </font>
    <font>
      <sz val="16"/>
      <color theme="0"/>
      <name val="Segoe UI Black"/>
      <family val="2"/>
    </font>
    <font>
      <sz val="12"/>
      <color theme="0"/>
      <name val="Segoe UI Black"/>
      <family val="2"/>
    </font>
    <font>
      <sz val="36"/>
      <color theme="0"/>
      <name val="Segoe UI Black"/>
      <family val="2"/>
    </font>
    <font>
      <b/>
      <sz val="20"/>
      <color theme="1"/>
      <name val="Segoe UI Black"/>
      <family val="2"/>
    </font>
  </fonts>
  <fills count="12">
    <fill>
      <patternFill patternType="none"/>
    </fill>
    <fill>
      <patternFill patternType="gray125"/>
    </fill>
    <fill>
      <patternFill patternType="solid">
        <fgColor theme="4"/>
        <bgColor indexed="64"/>
      </patternFill>
    </fill>
    <fill>
      <patternFill patternType="solid">
        <fgColor theme="2"/>
        <bgColor indexed="64"/>
      </patternFill>
    </fill>
    <fill>
      <patternFill patternType="solid">
        <fgColor theme="9"/>
        <bgColor theme="9"/>
      </patternFill>
    </fill>
    <fill>
      <patternFill patternType="solid">
        <fgColor theme="9" tint="0.39997558519241921"/>
        <bgColor indexed="64"/>
      </patternFill>
    </fill>
    <fill>
      <patternFill patternType="solid">
        <fgColor rgb="FF00B050"/>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theme="4" tint="-0.249977111117893"/>
        <bgColor indexed="64"/>
      </patternFill>
    </fill>
    <fill>
      <patternFill patternType="solid">
        <fgColor rgb="FFEB6C15"/>
        <bgColor indexed="64"/>
      </patternFill>
    </fill>
    <fill>
      <patternFill patternType="solid">
        <fgColor theme="2" tint="-0.249977111117893"/>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57">
    <xf numFmtId="0" fontId="0" fillId="0" borderId="0" xfId="0"/>
    <xf numFmtId="0" fontId="0" fillId="2" borderId="0" xfId="0" applyFill="1"/>
    <xf numFmtId="0" fontId="0" fillId="3" borderId="0" xfId="0" applyFill="1"/>
    <xf numFmtId="0" fontId="1" fillId="3" borderId="0" xfId="0" applyFont="1" applyFill="1" applyAlignment="1">
      <alignment vertical="center"/>
    </xf>
    <xf numFmtId="15" fontId="0" fillId="0" borderId="0" xfId="0" applyNumberFormat="1"/>
    <xf numFmtId="8" fontId="0" fillId="0" borderId="0" xfId="0" applyNumberFormat="1"/>
    <xf numFmtId="0" fontId="0" fillId="0" borderId="0" xfId="0" applyNumberFormat="1"/>
    <xf numFmtId="14" fontId="0" fillId="0" borderId="0" xfId="0" applyNumberFormat="1"/>
    <xf numFmtId="0" fontId="0" fillId="5" borderId="0" xfId="0" applyFill="1" applyAlignment="1">
      <alignment horizontal="center"/>
    </xf>
    <xf numFmtId="2" fontId="0" fillId="0" borderId="0" xfId="0" applyNumberFormat="1"/>
    <xf numFmtId="2" fontId="0" fillId="0" borderId="1" xfId="0" applyNumberFormat="1" applyBorder="1"/>
    <xf numFmtId="9" fontId="0" fillId="0" borderId="1" xfId="0" applyNumberFormat="1" applyBorder="1"/>
    <xf numFmtId="0" fontId="0" fillId="0" borderId="0" xfId="0" applyBorder="1"/>
    <xf numFmtId="0" fontId="0" fillId="5" borderId="1" xfId="0" applyFill="1" applyBorder="1" applyAlignment="1">
      <alignment horizontal="center"/>
    </xf>
    <xf numFmtId="0" fontId="0" fillId="5" borderId="1" xfId="0" applyFill="1" applyBorder="1"/>
    <xf numFmtId="0" fontId="0" fillId="0" borderId="1" xfId="0" applyBorder="1" applyAlignment="1">
      <alignment horizontal="center"/>
    </xf>
    <xf numFmtId="0" fontId="0" fillId="0" borderId="1" xfId="0" applyBorder="1"/>
    <xf numFmtId="8" fontId="0" fillId="0" borderId="1" xfId="0" applyNumberFormat="1" applyBorder="1"/>
    <xf numFmtId="9" fontId="0" fillId="0" borderId="1" xfId="0" applyNumberFormat="1" applyFont="1" applyBorder="1"/>
    <xf numFmtId="0" fontId="4" fillId="6" borderId="2" xfId="0" applyFont="1" applyFill="1" applyBorder="1" applyAlignment="1">
      <alignment horizontal="left" vertical="top"/>
    </xf>
    <xf numFmtId="0" fontId="0" fillId="0" borderId="0" xfId="0" applyBorder="1" applyAlignment="1">
      <alignment horizontal="center"/>
    </xf>
    <xf numFmtId="0" fontId="0" fillId="0" borderId="0" xfId="0" applyAlignment="1">
      <alignment horizontal="left"/>
    </xf>
    <xf numFmtId="0" fontId="4" fillId="6" borderId="0" xfId="0" applyFont="1" applyFill="1" applyBorder="1" applyAlignment="1">
      <alignment horizontal="left" vertical="top"/>
    </xf>
    <xf numFmtId="0" fontId="0" fillId="0" borderId="1" xfId="0" applyBorder="1" applyAlignment="1">
      <alignment horizontal="left"/>
    </xf>
    <xf numFmtId="2" fontId="0" fillId="0" borderId="1" xfId="0" applyNumberFormat="1" applyBorder="1" applyAlignment="1">
      <alignment horizontal="left"/>
    </xf>
    <xf numFmtId="0" fontId="3" fillId="7" borderId="1" xfId="0" applyFont="1" applyFill="1" applyBorder="1" applyAlignment="1">
      <alignment horizontal="center"/>
    </xf>
    <xf numFmtId="0" fontId="0" fillId="7" borderId="1" xfId="0" applyFill="1" applyBorder="1" applyAlignment="1">
      <alignment horizontal="center"/>
    </xf>
    <xf numFmtId="14" fontId="0" fillId="0" borderId="1" xfId="0" applyNumberFormat="1" applyBorder="1" applyAlignment="1">
      <alignment horizontal="left"/>
    </xf>
    <xf numFmtId="8" fontId="0" fillId="0" borderId="1" xfId="0" applyNumberFormat="1" applyBorder="1" applyAlignment="1">
      <alignment horizontal="left"/>
    </xf>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14" fontId="0" fillId="0" borderId="1" xfId="0" applyNumberFormat="1" applyBorder="1"/>
    <xf numFmtId="0" fontId="5" fillId="5" borderId="0" xfId="0" applyFont="1" applyFill="1" applyAlignment="1">
      <alignment horizontal="center"/>
    </xf>
    <xf numFmtId="0" fontId="0" fillId="0" borderId="0" xfId="0" pivotButton="1"/>
    <xf numFmtId="168" fontId="0" fillId="0" borderId="0" xfId="0" applyNumberFormat="1"/>
    <xf numFmtId="8" fontId="7" fillId="0" borderId="0" xfId="0" applyNumberFormat="1" applyFont="1" applyAlignment="1">
      <alignment horizontal="right"/>
    </xf>
    <xf numFmtId="0" fontId="4" fillId="6" borderId="1" xfId="0" applyFont="1" applyFill="1" applyBorder="1" applyAlignment="1">
      <alignment horizontal="left" vertical="top"/>
    </xf>
    <xf numFmtId="0" fontId="6" fillId="5" borderId="1" xfId="0" applyFont="1" applyFill="1" applyBorder="1" applyAlignment="1">
      <alignment horizontal="center" vertical="center"/>
    </xf>
    <xf numFmtId="0" fontId="2" fillId="4" borderId="1" xfId="0" applyFont="1" applyFill="1" applyBorder="1"/>
    <xf numFmtId="0" fontId="0" fillId="8" borderId="1" xfId="0" applyFill="1" applyBorder="1"/>
    <xf numFmtId="0" fontId="7" fillId="0" borderId="0" xfId="0" applyNumberFormat="1" applyFont="1" applyAlignment="1">
      <alignment horizontal="right"/>
    </xf>
    <xf numFmtId="0" fontId="0" fillId="0" borderId="0" xfId="0" applyAlignment="1">
      <alignment horizontal="left" indent="1"/>
    </xf>
    <xf numFmtId="9" fontId="9" fillId="9" borderId="0" xfId="0" applyNumberFormat="1" applyFont="1" applyFill="1" applyAlignment="1">
      <alignment horizontal="center" vertical="center"/>
    </xf>
    <xf numFmtId="168" fontId="11" fillId="9" borderId="0" xfId="0" applyNumberFormat="1" applyFont="1" applyFill="1" applyAlignment="1">
      <alignment horizontal="center" vertical="center"/>
    </xf>
    <xf numFmtId="168" fontId="11" fillId="10" borderId="0" xfId="0" applyNumberFormat="1" applyFont="1" applyFill="1" applyAlignment="1">
      <alignment horizontal="center" vertical="center"/>
    </xf>
    <xf numFmtId="10" fontId="10" fillId="10" borderId="0" xfId="0" applyNumberFormat="1" applyFont="1" applyFill="1" applyAlignment="1">
      <alignment horizontal="center" vertical="center"/>
    </xf>
    <xf numFmtId="0" fontId="12" fillId="9" borderId="0" xfId="0" applyFont="1" applyFill="1" applyAlignment="1">
      <alignment horizontal="center" vertical="center"/>
    </xf>
    <xf numFmtId="0" fontId="12" fillId="10" borderId="0" xfId="0" applyFont="1" applyFill="1" applyAlignment="1">
      <alignment horizontal="center" vertical="center"/>
    </xf>
    <xf numFmtId="0" fontId="8" fillId="11" borderId="9" xfId="0" applyFont="1" applyFill="1" applyBorder="1" applyAlignment="1">
      <alignment horizontal="center" vertical="center"/>
    </xf>
    <xf numFmtId="0" fontId="8" fillId="11" borderId="9" xfId="0" applyFont="1" applyFill="1" applyBorder="1" applyAlignment="1">
      <alignment horizontal="center"/>
    </xf>
    <xf numFmtId="0" fontId="13" fillId="11" borderId="0" xfId="0" applyFont="1" applyFill="1" applyAlignment="1">
      <alignment horizontal="center"/>
    </xf>
  </cellXfs>
  <cellStyles count="1">
    <cellStyle name="Normal" xfId="0" builtinId="0"/>
  </cellStyles>
  <dxfs count="19">
    <dxf>
      <font>
        <color rgb="FF9C0006"/>
      </font>
      <fill>
        <patternFill>
          <bgColor rgb="FFFFC7CE"/>
        </patternFill>
      </fill>
    </dxf>
    <dxf>
      <font>
        <b val="0"/>
        <i val="0"/>
        <strike val="0"/>
        <condense val="0"/>
        <extend val="0"/>
        <outline val="0"/>
        <shadow val="0"/>
        <u val="none"/>
        <vertAlign val="baseline"/>
        <sz val="9"/>
        <color theme="1"/>
        <name val="Calibri"/>
        <family val="2"/>
        <scheme val="minor"/>
      </font>
      <numFmt numFmtId="0" formatCode="General"/>
      <alignment horizontal="right" vertical="bottom" textRotation="0" wrapText="0" indent="0" justifyLastLine="0" shrinkToFit="0" readingOrder="0"/>
    </dxf>
    <dxf>
      <font>
        <strike val="0"/>
        <outline val="0"/>
        <shadow val="0"/>
        <u val="none"/>
        <vertAlign val="baseline"/>
        <sz val="9"/>
        <color theme="1"/>
        <name val="Calibri"/>
        <family val="2"/>
        <scheme val="minor"/>
      </font>
      <numFmt numFmtId="12" formatCode="&quot;$&quot;#,##0.00_);[Red]\(&quot;$&quot;#,##0.00\)"/>
      <alignment horizontal="right" vertical="bottom" textRotation="0" wrapText="0" indent="0" justifyLastLine="0" shrinkToFit="0" readingOrder="0"/>
    </dxf>
    <dxf>
      <font>
        <b val="0"/>
        <i val="0"/>
        <strike val="0"/>
        <condense val="0"/>
        <extend val="0"/>
        <outline val="0"/>
        <shadow val="0"/>
        <u val="none"/>
        <vertAlign val="baseline"/>
        <sz val="9"/>
        <color theme="1"/>
        <name val="Calibri"/>
        <family val="2"/>
        <scheme val="minor"/>
      </font>
      <numFmt numFmtId="12" formatCode="&quot;$&quot;#,##0.00_);[Red]\(&quot;$&quot;#,##0.00\)"/>
      <alignment horizontal="right" vertical="bottom" textRotation="0" wrapText="0" indent="0" justifyLastLine="0" shrinkToFit="0" readingOrder="0"/>
    </dxf>
    <dxf>
      <numFmt numFmtId="2" formatCode="0.00"/>
    </dxf>
    <dxf>
      <numFmt numFmtId="168" formatCode="&quot;$&quot;#,##0.00"/>
    </dxf>
    <dxf>
      <numFmt numFmtId="2" formatCode="0.00"/>
    </dxf>
    <dxf>
      <numFmt numFmtId="168" formatCode="&quot;$&quot;#,##0.00"/>
    </dxf>
    <dxf>
      <numFmt numFmtId="0" formatCode="General"/>
    </dxf>
    <dxf>
      <numFmt numFmtId="19" formatCode="m/d/yyyy"/>
    </dxf>
    <dxf>
      <numFmt numFmtId="0" formatCode="General"/>
    </dxf>
    <dxf>
      <numFmt numFmtId="0" formatCode="General"/>
    </dxf>
    <dxf>
      <fill>
        <patternFill patternType="solid">
          <fgColor rgb="FF729BCF"/>
          <bgColor rgb="FF000000"/>
        </patternFill>
      </fill>
    </dxf>
    <dxf>
      <numFmt numFmtId="12" formatCode="&quot;$&quot;#,##0.00_);[Red]\(&quot;$&quot;#,##0.00\)"/>
    </dxf>
    <dxf>
      <numFmt numFmtId="2" formatCode="0.00"/>
    </dxf>
    <dxf>
      <numFmt numFmtId="12" formatCode="&quot;$&quot;#,##0.00_);[Red]\(&quot;$&quot;#,##0.00\)"/>
    </dxf>
    <dxf>
      <numFmt numFmtId="2" formatCode="0.00"/>
    </dxf>
    <dxf>
      <numFmt numFmtId="12" formatCode="&quot;$&quot;#,##0.00_);[Red]\(&quot;$&quot;#,##0.00\)"/>
    </dxf>
    <dxf>
      <numFmt numFmtId="20" formatCode="d\-mmm\-yy"/>
    </dxf>
  </dxfs>
  <tableStyles count="0" defaultTableStyle="TableStyleMedium2" defaultPivotStyle="PivotStyleLight16"/>
  <colors>
    <mruColors>
      <color rgb="FFEB6C1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26" Type="http://schemas.openxmlformats.org/officeDocument/2006/relationships/sheetMetadata" Target="metadata.xml"/><Relationship Id="rId3" Type="http://schemas.openxmlformats.org/officeDocument/2006/relationships/worksheet" Target="worksheets/sheet3.xml"/><Relationship Id="rId21" Type="http://schemas.microsoft.com/office/2007/relationships/slicerCache" Target="slicerCaches/slicerCache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0" Type="http://schemas.microsoft.com/office/2007/relationships/slicerCache" Target="slicerCaches/slicerCache2.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openxmlformats.org/officeDocument/2006/relationships/connections" Target="connections.xml"/><Relationship Id="rId28" Type="http://schemas.openxmlformats.org/officeDocument/2006/relationships/calcChain" Target="calcChain.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theme" Target="theme/theme1.xml"/><Relationship Id="rId27"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baseline="0"/>
              <a:t>Salary Vs. Rating</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lotArea>
      <c:layout/>
      <c:scatterChart>
        <c:scatterStyle val="lineMarker"/>
        <c:varyColors val="0"/>
        <c:ser>
          <c:idx val="0"/>
          <c:order val="0"/>
          <c:spPr>
            <a:ln w="25400" cap="rnd">
              <a:noFill/>
              <a:round/>
            </a:ln>
            <a:effectLst/>
          </c:spPr>
          <c:marker>
            <c:symbol val="diamond"/>
            <c:size val="6"/>
            <c:spPr>
              <a:solidFill>
                <a:schemeClr val="lt1"/>
              </a:solidFill>
              <a:ln w="15875">
                <a:solidFill>
                  <a:schemeClr val="accen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xVal>
            <c:numRef>
              <c:f>All_STAFF!$G$2:$G$184</c:f>
              <c:numCache>
                <c:formatCode>"$"#,##0.00</c:formatCode>
                <c:ptCount val="183"/>
                <c:pt idx="0">
                  <c:v>112650</c:v>
                </c:pt>
                <c:pt idx="1">
                  <c:v>112650</c:v>
                </c:pt>
                <c:pt idx="2">
                  <c:v>112780</c:v>
                </c:pt>
                <c:pt idx="3">
                  <c:v>112780</c:v>
                </c:pt>
                <c:pt idx="4">
                  <c:v>112650</c:v>
                </c:pt>
                <c:pt idx="5">
                  <c:v>43840</c:v>
                </c:pt>
                <c:pt idx="6">
                  <c:v>103550</c:v>
                </c:pt>
                <c:pt idx="7">
                  <c:v>45510</c:v>
                </c:pt>
                <c:pt idx="8">
                  <c:v>115440</c:v>
                </c:pt>
                <c:pt idx="9">
                  <c:v>56870</c:v>
                </c:pt>
                <c:pt idx="10">
                  <c:v>92700</c:v>
                </c:pt>
                <c:pt idx="11">
                  <c:v>91310</c:v>
                </c:pt>
                <c:pt idx="12">
                  <c:v>74550</c:v>
                </c:pt>
                <c:pt idx="13">
                  <c:v>109190</c:v>
                </c:pt>
                <c:pt idx="14">
                  <c:v>104410</c:v>
                </c:pt>
                <c:pt idx="15">
                  <c:v>96800</c:v>
                </c:pt>
                <c:pt idx="16">
                  <c:v>48170</c:v>
                </c:pt>
                <c:pt idx="17">
                  <c:v>37920</c:v>
                </c:pt>
                <c:pt idx="18">
                  <c:v>49630</c:v>
                </c:pt>
                <c:pt idx="19">
                  <c:v>118840</c:v>
                </c:pt>
                <c:pt idx="20">
                  <c:v>69710</c:v>
                </c:pt>
                <c:pt idx="21">
                  <c:v>79570</c:v>
                </c:pt>
                <c:pt idx="22">
                  <c:v>76900</c:v>
                </c:pt>
                <c:pt idx="23">
                  <c:v>54970</c:v>
                </c:pt>
                <c:pt idx="24">
                  <c:v>88050</c:v>
                </c:pt>
                <c:pt idx="25">
                  <c:v>36040</c:v>
                </c:pt>
                <c:pt idx="26">
                  <c:v>75000</c:v>
                </c:pt>
                <c:pt idx="27">
                  <c:v>40400</c:v>
                </c:pt>
                <c:pt idx="28">
                  <c:v>100420</c:v>
                </c:pt>
                <c:pt idx="29">
                  <c:v>58100</c:v>
                </c:pt>
                <c:pt idx="30">
                  <c:v>114870</c:v>
                </c:pt>
                <c:pt idx="31">
                  <c:v>41570</c:v>
                </c:pt>
                <c:pt idx="32">
                  <c:v>112570</c:v>
                </c:pt>
                <c:pt idx="33">
                  <c:v>47360</c:v>
                </c:pt>
                <c:pt idx="34">
                  <c:v>65920</c:v>
                </c:pt>
                <c:pt idx="35">
                  <c:v>99970</c:v>
                </c:pt>
                <c:pt idx="36">
                  <c:v>80700</c:v>
                </c:pt>
                <c:pt idx="37">
                  <c:v>52610</c:v>
                </c:pt>
                <c:pt idx="38">
                  <c:v>112110</c:v>
                </c:pt>
                <c:pt idx="39">
                  <c:v>119110</c:v>
                </c:pt>
                <c:pt idx="40">
                  <c:v>114890</c:v>
                </c:pt>
                <c:pt idx="41">
                  <c:v>48980</c:v>
                </c:pt>
                <c:pt idx="42">
                  <c:v>75880</c:v>
                </c:pt>
                <c:pt idx="43">
                  <c:v>53240</c:v>
                </c:pt>
                <c:pt idx="44">
                  <c:v>85000</c:v>
                </c:pt>
                <c:pt idx="45">
                  <c:v>33920</c:v>
                </c:pt>
                <c:pt idx="46">
                  <c:v>75280</c:v>
                </c:pt>
                <c:pt idx="47">
                  <c:v>58940</c:v>
                </c:pt>
                <c:pt idx="48">
                  <c:v>104770</c:v>
                </c:pt>
                <c:pt idx="49">
                  <c:v>57090</c:v>
                </c:pt>
                <c:pt idx="50">
                  <c:v>91650</c:v>
                </c:pt>
                <c:pt idx="51">
                  <c:v>70270</c:v>
                </c:pt>
                <c:pt idx="52">
                  <c:v>75970</c:v>
                </c:pt>
                <c:pt idx="53">
                  <c:v>90700</c:v>
                </c:pt>
                <c:pt idx="54">
                  <c:v>60570</c:v>
                </c:pt>
                <c:pt idx="55">
                  <c:v>115920</c:v>
                </c:pt>
                <c:pt idx="56">
                  <c:v>65360</c:v>
                </c:pt>
                <c:pt idx="57">
                  <c:v>64000</c:v>
                </c:pt>
                <c:pt idx="58">
                  <c:v>92450</c:v>
                </c:pt>
                <c:pt idx="59">
                  <c:v>48950</c:v>
                </c:pt>
                <c:pt idx="60">
                  <c:v>83750</c:v>
                </c:pt>
                <c:pt idx="61">
                  <c:v>87620</c:v>
                </c:pt>
                <c:pt idx="62">
                  <c:v>68900</c:v>
                </c:pt>
                <c:pt idx="63">
                  <c:v>53540</c:v>
                </c:pt>
                <c:pt idx="64">
                  <c:v>43510</c:v>
                </c:pt>
                <c:pt idx="65">
                  <c:v>109160</c:v>
                </c:pt>
                <c:pt idx="66">
                  <c:v>99750</c:v>
                </c:pt>
                <c:pt idx="67">
                  <c:v>41980</c:v>
                </c:pt>
                <c:pt idx="68">
                  <c:v>71380</c:v>
                </c:pt>
                <c:pt idx="69">
                  <c:v>113280</c:v>
                </c:pt>
                <c:pt idx="70">
                  <c:v>86570</c:v>
                </c:pt>
                <c:pt idx="71">
                  <c:v>53540</c:v>
                </c:pt>
                <c:pt idx="72">
                  <c:v>69070</c:v>
                </c:pt>
                <c:pt idx="73">
                  <c:v>67910</c:v>
                </c:pt>
                <c:pt idx="74">
                  <c:v>69120</c:v>
                </c:pt>
                <c:pt idx="75">
                  <c:v>60130</c:v>
                </c:pt>
                <c:pt idx="76">
                  <c:v>106460</c:v>
                </c:pt>
                <c:pt idx="77">
                  <c:v>118100</c:v>
                </c:pt>
                <c:pt idx="78">
                  <c:v>78390</c:v>
                </c:pt>
                <c:pt idx="79">
                  <c:v>114180</c:v>
                </c:pt>
                <c:pt idx="80">
                  <c:v>104120</c:v>
                </c:pt>
                <c:pt idx="81">
                  <c:v>67950</c:v>
                </c:pt>
                <c:pt idx="82">
                  <c:v>34980</c:v>
                </c:pt>
                <c:pt idx="83">
                  <c:v>62780</c:v>
                </c:pt>
                <c:pt idx="84">
                  <c:v>107700</c:v>
                </c:pt>
                <c:pt idx="85">
                  <c:v>65700</c:v>
                </c:pt>
                <c:pt idx="86">
                  <c:v>75480</c:v>
                </c:pt>
                <c:pt idx="87">
                  <c:v>53870</c:v>
                </c:pt>
                <c:pt idx="88">
                  <c:v>78540</c:v>
                </c:pt>
                <c:pt idx="89">
                  <c:v>58960</c:v>
                </c:pt>
                <c:pt idx="90">
                  <c:v>70610</c:v>
                </c:pt>
                <c:pt idx="91">
                  <c:v>59430</c:v>
                </c:pt>
                <c:pt idx="92">
                  <c:v>48530</c:v>
                </c:pt>
                <c:pt idx="93">
                  <c:v>96140</c:v>
                </c:pt>
                <c:pt idx="94">
                  <c:v>70610</c:v>
                </c:pt>
                <c:pt idx="95">
                  <c:v>53240</c:v>
                </c:pt>
                <c:pt idx="96">
                  <c:v>115440</c:v>
                </c:pt>
                <c:pt idx="97">
                  <c:v>53540</c:v>
                </c:pt>
                <c:pt idx="98">
                  <c:v>112570</c:v>
                </c:pt>
                <c:pt idx="99">
                  <c:v>48530</c:v>
                </c:pt>
                <c:pt idx="100">
                  <c:v>62780</c:v>
                </c:pt>
                <c:pt idx="101">
                  <c:v>53870</c:v>
                </c:pt>
                <c:pt idx="102">
                  <c:v>119110</c:v>
                </c:pt>
                <c:pt idx="103">
                  <c:v>112110</c:v>
                </c:pt>
                <c:pt idx="104">
                  <c:v>65700</c:v>
                </c:pt>
                <c:pt idx="105">
                  <c:v>69070</c:v>
                </c:pt>
                <c:pt idx="106">
                  <c:v>107700</c:v>
                </c:pt>
                <c:pt idx="107">
                  <c:v>43840</c:v>
                </c:pt>
                <c:pt idx="108">
                  <c:v>99750</c:v>
                </c:pt>
                <c:pt idx="109">
                  <c:v>37920</c:v>
                </c:pt>
                <c:pt idx="110">
                  <c:v>57090</c:v>
                </c:pt>
                <c:pt idx="111">
                  <c:v>41980</c:v>
                </c:pt>
                <c:pt idx="112">
                  <c:v>75880</c:v>
                </c:pt>
                <c:pt idx="113">
                  <c:v>58940</c:v>
                </c:pt>
                <c:pt idx="114">
                  <c:v>67910</c:v>
                </c:pt>
                <c:pt idx="115">
                  <c:v>58100</c:v>
                </c:pt>
                <c:pt idx="116">
                  <c:v>48980</c:v>
                </c:pt>
                <c:pt idx="117">
                  <c:v>64000</c:v>
                </c:pt>
                <c:pt idx="118">
                  <c:v>75000</c:v>
                </c:pt>
                <c:pt idx="119">
                  <c:v>87620</c:v>
                </c:pt>
                <c:pt idx="120">
                  <c:v>34980</c:v>
                </c:pt>
                <c:pt idx="121">
                  <c:v>75970</c:v>
                </c:pt>
                <c:pt idx="122">
                  <c:v>60130</c:v>
                </c:pt>
                <c:pt idx="123">
                  <c:v>75480</c:v>
                </c:pt>
                <c:pt idx="124">
                  <c:v>115920</c:v>
                </c:pt>
                <c:pt idx="125">
                  <c:v>78540</c:v>
                </c:pt>
                <c:pt idx="126">
                  <c:v>109190</c:v>
                </c:pt>
                <c:pt idx="127">
                  <c:v>49630</c:v>
                </c:pt>
                <c:pt idx="128">
                  <c:v>99970</c:v>
                </c:pt>
                <c:pt idx="129">
                  <c:v>96140</c:v>
                </c:pt>
                <c:pt idx="130">
                  <c:v>103550</c:v>
                </c:pt>
                <c:pt idx="131">
                  <c:v>48950</c:v>
                </c:pt>
                <c:pt idx="132">
                  <c:v>52610</c:v>
                </c:pt>
                <c:pt idx="133">
                  <c:v>78390</c:v>
                </c:pt>
                <c:pt idx="134">
                  <c:v>86570</c:v>
                </c:pt>
                <c:pt idx="135">
                  <c:v>83750</c:v>
                </c:pt>
                <c:pt idx="136">
                  <c:v>92450</c:v>
                </c:pt>
                <c:pt idx="137">
                  <c:v>79570</c:v>
                </c:pt>
                <c:pt idx="138">
                  <c:v>68900</c:v>
                </c:pt>
                <c:pt idx="139">
                  <c:v>80700</c:v>
                </c:pt>
                <c:pt idx="140">
                  <c:v>58960</c:v>
                </c:pt>
                <c:pt idx="141">
                  <c:v>118840</c:v>
                </c:pt>
                <c:pt idx="142">
                  <c:v>48170</c:v>
                </c:pt>
                <c:pt idx="143">
                  <c:v>45510</c:v>
                </c:pt>
                <c:pt idx="144">
                  <c:v>114890</c:v>
                </c:pt>
                <c:pt idx="145">
                  <c:v>69710</c:v>
                </c:pt>
                <c:pt idx="146">
                  <c:v>71380</c:v>
                </c:pt>
                <c:pt idx="147">
                  <c:v>109160</c:v>
                </c:pt>
                <c:pt idx="148">
                  <c:v>113280</c:v>
                </c:pt>
                <c:pt idx="149">
                  <c:v>69120</c:v>
                </c:pt>
                <c:pt idx="150">
                  <c:v>118100</c:v>
                </c:pt>
                <c:pt idx="151">
                  <c:v>76900</c:v>
                </c:pt>
                <c:pt idx="152">
                  <c:v>114870</c:v>
                </c:pt>
                <c:pt idx="153">
                  <c:v>91310</c:v>
                </c:pt>
                <c:pt idx="154">
                  <c:v>104770</c:v>
                </c:pt>
                <c:pt idx="155">
                  <c:v>54970</c:v>
                </c:pt>
                <c:pt idx="156">
                  <c:v>90700</c:v>
                </c:pt>
                <c:pt idx="157">
                  <c:v>56870</c:v>
                </c:pt>
                <c:pt idx="158">
                  <c:v>92700</c:v>
                </c:pt>
                <c:pt idx="159">
                  <c:v>65920</c:v>
                </c:pt>
                <c:pt idx="160">
                  <c:v>47360</c:v>
                </c:pt>
                <c:pt idx="161">
                  <c:v>60570</c:v>
                </c:pt>
                <c:pt idx="162">
                  <c:v>104120</c:v>
                </c:pt>
                <c:pt idx="163">
                  <c:v>88050</c:v>
                </c:pt>
                <c:pt idx="164">
                  <c:v>100420</c:v>
                </c:pt>
                <c:pt idx="165">
                  <c:v>114180</c:v>
                </c:pt>
                <c:pt idx="166">
                  <c:v>33920</c:v>
                </c:pt>
                <c:pt idx="167">
                  <c:v>106460</c:v>
                </c:pt>
                <c:pt idx="168">
                  <c:v>40400</c:v>
                </c:pt>
                <c:pt idx="169">
                  <c:v>91650</c:v>
                </c:pt>
                <c:pt idx="170">
                  <c:v>36040</c:v>
                </c:pt>
                <c:pt idx="171">
                  <c:v>104410</c:v>
                </c:pt>
                <c:pt idx="172">
                  <c:v>96800</c:v>
                </c:pt>
                <c:pt idx="173">
                  <c:v>85000</c:v>
                </c:pt>
                <c:pt idx="174">
                  <c:v>43510</c:v>
                </c:pt>
                <c:pt idx="175">
                  <c:v>59430</c:v>
                </c:pt>
                <c:pt idx="176">
                  <c:v>65360</c:v>
                </c:pt>
                <c:pt idx="177">
                  <c:v>41570</c:v>
                </c:pt>
                <c:pt idx="178">
                  <c:v>75280</c:v>
                </c:pt>
                <c:pt idx="179">
                  <c:v>74550</c:v>
                </c:pt>
                <c:pt idx="180">
                  <c:v>67950</c:v>
                </c:pt>
                <c:pt idx="181">
                  <c:v>70270</c:v>
                </c:pt>
                <c:pt idx="182">
                  <c:v>53540</c:v>
                </c:pt>
              </c:numCache>
            </c:numRef>
          </c:xVal>
          <c:yVal>
            <c:numRef>
              <c:f>All_STAFF!$K$2:$K$184</c:f>
              <c:numCache>
                <c:formatCode>General</c:formatCode>
                <c:ptCount val="183"/>
                <c:pt idx="0">
                  <c:v>3</c:v>
                </c:pt>
                <c:pt idx="1">
                  <c:v>3</c:v>
                </c:pt>
                <c:pt idx="2">
                  <c:v>4</c:v>
                </c:pt>
                <c:pt idx="3">
                  <c:v>4</c:v>
                </c:pt>
                <c:pt idx="4">
                  <c:v>3</c:v>
                </c:pt>
                <c:pt idx="5">
                  <c:v>4</c:v>
                </c:pt>
                <c:pt idx="6">
                  <c:v>3</c:v>
                </c:pt>
                <c:pt idx="7">
                  <c:v>3</c:v>
                </c:pt>
                <c:pt idx="8">
                  <c:v>2</c:v>
                </c:pt>
                <c:pt idx="9">
                  <c:v>4</c:v>
                </c:pt>
                <c:pt idx="10">
                  <c:v>3</c:v>
                </c:pt>
                <c:pt idx="11">
                  <c:v>3</c:v>
                </c:pt>
                <c:pt idx="12">
                  <c:v>3</c:v>
                </c:pt>
                <c:pt idx="13">
                  <c:v>4</c:v>
                </c:pt>
                <c:pt idx="14">
                  <c:v>3</c:v>
                </c:pt>
                <c:pt idx="15">
                  <c:v>3</c:v>
                </c:pt>
                <c:pt idx="16">
                  <c:v>4</c:v>
                </c:pt>
                <c:pt idx="17">
                  <c:v>3</c:v>
                </c:pt>
                <c:pt idx="18">
                  <c:v>2</c:v>
                </c:pt>
                <c:pt idx="19">
                  <c:v>3</c:v>
                </c:pt>
                <c:pt idx="20">
                  <c:v>3</c:v>
                </c:pt>
                <c:pt idx="21">
                  <c:v>3</c:v>
                </c:pt>
                <c:pt idx="22">
                  <c:v>4</c:v>
                </c:pt>
                <c:pt idx="23">
                  <c:v>3</c:v>
                </c:pt>
                <c:pt idx="24">
                  <c:v>2</c:v>
                </c:pt>
                <c:pt idx="25">
                  <c:v>3</c:v>
                </c:pt>
                <c:pt idx="26">
                  <c:v>5</c:v>
                </c:pt>
                <c:pt idx="27">
                  <c:v>3</c:v>
                </c:pt>
                <c:pt idx="28">
                  <c:v>3</c:v>
                </c:pt>
                <c:pt idx="29">
                  <c:v>3</c:v>
                </c:pt>
                <c:pt idx="30">
                  <c:v>3</c:v>
                </c:pt>
                <c:pt idx="31">
                  <c:v>3</c:v>
                </c:pt>
                <c:pt idx="32">
                  <c:v>3</c:v>
                </c:pt>
                <c:pt idx="33">
                  <c:v>3</c:v>
                </c:pt>
                <c:pt idx="34">
                  <c:v>3</c:v>
                </c:pt>
                <c:pt idx="35">
                  <c:v>3</c:v>
                </c:pt>
                <c:pt idx="36">
                  <c:v>4</c:v>
                </c:pt>
                <c:pt idx="37">
                  <c:v>2</c:v>
                </c:pt>
                <c:pt idx="38">
                  <c:v>2</c:v>
                </c:pt>
                <c:pt idx="39">
                  <c:v>3</c:v>
                </c:pt>
                <c:pt idx="40">
                  <c:v>3</c:v>
                </c:pt>
                <c:pt idx="41">
                  <c:v>3</c:v>
                </c:pt>
                <c:pt idx="42">
                  <c:v>3</c:v>
                </c:pt>
                <c:pt idx="43">
                  <c:v>3</c:v>
                </c:pt>
                <c:pt idx="44">
                  <c:v>3</c:v>
                </c:pt>
                <c:pt idx="45">
                  <c:v>3</c:v>
                </c:pt>
                <c:pt idx="46">
                  <c:v>3</c:v>
                </c:pt>
                <c:pt idx="47">
                  <c:v>3</c:v>
                </c:pt>
                <c:pt idx="48">
                  <c:v>3</c:v>
                </c:pt>
                <c:pt idx="49">
                  <c:v>3</c:v>
                </c:pt>
                <c:pt idx="50">
                  <c:v>4</c:v>
                </c:pt>
                <c:pt idx="51">
                  <c:v>2</c:v>
                </c:pt>
                <c:pt idx="52">
                  <c:v>3</c:v>
                </c:pt>
                <c:pt idx="53">
                  <c:v>4</c:v>
                </c:pt>
                <c:pt idx="54">
                  <c:v>3</c:v>
                </c:pt>
                <c:pt idx="55">
                  <c:v>3</c:v>
                </c:pt>
                <c:pt idx="56">
                  <c:v>3</c:v>
                </c:pt>
                <c:pt idx="57">
                  <c:v>3</c:v>
                </c:pt>
                <c:pt idx="58">
                  <c:v>3</c:v>
                </c:pt>
                <c:pt idx="59">
                  <c:v>3</c:v>
                </c:pt>
                <c:pt idx="60">
                  <c:v>3</c:v>
                </c:pt>
                <c:pt idx="61">
                  <c:v>3</c:v>
                </c:pt>
                <c:pt idx="62">
                  <c:v>2</c:v>
                </c:pt>
                <c:pt idx="63">
                  <c:v>3</c:v>
                </c:pt>
                <c:pt idx="64">
                  <c:v>1</c:v>
                </c:pt>
                <c:pt idx="65">
                  <c:v>5</c:v>
                </c:pt>
                <c:pt idx="66">
                  <c:v>3</c:v>
                </c:pt>
                <c:pt idx="67">
                  <c:v>3</c:v>
                </c:pt>
                <c:pt idx="68">
                  <c:v>3</c:v>
                </c:pt>
                <c:pt idx="69">
                  <c:v>1</c:v>
                </c:pt>
                <c:pt idx="70">
                  <c:v>3</c:v>
                </c:pt>
                <c:pt idx="71">
                  <c:v>3</c:v>
                </c:pt>
                <c:pt idx="72">
                  <c:v>3</c:v>
                </c:pt>
                <c:pt idx="73">
                  <c:v>2</c:v>
                </c:pt>
                <c:pt idx="74">
                  <c:v>3</c:v>
                </c:pt>
                <c:pt idx="75">
                  <c:v>3</c:v>
                </c:pt>
                <c:pt idx="76">
                  <c:v>3</c:v>
                </c:pt>
                <c:pt idx="77">
                  <c:v>3</c:v>
                </c:pt>
                <c:pt idx="78">
                  <c:v>3</c:v>
                </c:pt>
                <c:pt idx="79">
                  <c:v>3</c:v>
                </c:pt>
                <c:pt idx="80">
                  <c:v>3</c:v>
                </c:pt>
                <c:pt idx="81">
                  <c:v>3</c:v>
                </c:pt>
                <c:pt idx="82">
                  <c:v>3</c:v>
                </c:pt>
                <c:pt idx="83">
                  <c:v>3</c:v>
                </c:pt>
                <c:pt idx="84">
                  <c:v>3</c:v>
                </c:pt>
                <c:pt idx="85">
                  <c:v>3</c:v>
                </c:pt>
                <c:pt idx="86">
                  <c:v>1</c:v>
                </c:pt>
                <c:pt idx="87">
                  <c:v>3</c:v>
                </c:pt>
                <c:pt idx="88">
                  <c:v>3</c:v>
                </c:pt>
                <c:pt idx="89">
                  <c:v>3</c:v>
                </c:pt>
                <c:pt idx="90">
                  <c:v>3</c:v>
                </c:pt>
                <c:pt idx="91">
                  <c:v>3</c:v>
                </c:pt>
                <c:pt idx="92">
                  <c:v>4</c:v>
                </c:pt>
                <c:pt idx="93">
                  <c:v>3</c:v>
                </c:pt>
                <c:pt idx="94">
                  <c:v>3</c:v>
                </c:pt>
                <c:pt idx="95">
                  <c:v>3</c:v>
                </c:pt>
                <c:pt idx="96">
                  <c:v>2</c:v>
                </c:pt>
                <c:pt idx="97">
                  <c:v>3</c:v>
                </c:pt>
                <c:pt idx="98">
                  <c:v>3</c:v>
                </c:pt>
                <c:pt idx="99">
                  <c:v>4</c:v>
                </c:pt>
                <c:pt idx="100">
                  <c:v>3</c:v>
                </c:pt>
                <c:pt idx="101">
                  <c:v>3</c:v>
                </c:pt>
                <c:pt idx="102">
                  <c:v>3</c:v>
                </c:pt>
                <c:pt idx="103">
                  <c:v>2</c:v>
                </c:pt>
                <c:pt idx="104">
                  <c:v>3</c:v>
                </c:pt>
                <c:pt idx="105">
                  <c:v>3</c:v>
                </c:pt>
                <c:pt idx="106">
                  <c:v>3</c:v>
                </c:pt>
                <c:pt idx="107">
                  <c:v>4</c:v>
                </c:pt>
                <c:pt idx="108">
                  <c:v>3</c:v>
                </c:pt>
                <c:pt idx="109">
                  <c:v>3</c:v>
                </c:pt>
                <c:pt idx="110">
                  <c:v>3</c:v>
                </c:pt>
                <c:pt idx="111">
                  <c:v>3</c:v>
                </c:pt>
                <c:pt idx="112">
                  <c:v>3</c:v>
                </c:pt>
                <c:pt idx="113">
                  <c:v>3</c:v>
                </c:pt>
                <c:pt idx="114">
                  <c:v>2</c:v>
                </c:pt>
                <c:pt idx="115">
                  <c:v>3</c:v>
                </c:pt>
                <c:pt idx="116">
                  <c:v>3</c:v>
                </c:pt>
                <c:pt idx="117">
                  <c:v>3</c:v>
                </c:pt>
                <c:pt idx="118">
                  <c:v>5</c:v>
                </c:pt>
                <c:pt idx="119">
                  <c:v>3</c:v>
                </c:pt>
                <c:pt idx="120">
                  <c:v>3</c:v>
                </c:pt>
                <c:pt idx="121">
                  <c:v>3</c:v>
                </c:pt>
                <c:pt idx="122">
                  <c:v>3</c:v>
                </c:pt>
                <c:pt idx="123">
                  <c:v>1</c:v>
                </c:pt>
                <c:pt idx="124">
                  <c:v>3</c:v>
                </c:pt>
                <c:pt idx="125">
                  <c:v>3</c:v>
                </c:pt>
                <c:pt idx="126">
                  <c:v>4</c:v>
                </c:pt>
                <c:pt idx="127">
                  <c:v>2</c:v>
                </c:pt>
                <c:pt idx="128">
                  <c:v>3</c:v>
                </c:pt>
                <c:pt idx="129">
                  <c:v>3</c:v>
                </c:pt>
                <c:pt idx="130">
                  <c:v>3</c:v>
                </c:pt>
                <c:pt idx="131">
                  <c:v>3</c:v>
                </c:pt>
                <c:pt idx="132">
                  <c:v>2</c:v>
                </c:pt>
                <c:pt idx="133">
                  <c:v>3</c:v>
                </c:pt>
                <c:pt idx="134">
                  <c:v>3</c:v>
                </c:pt>
                <c:pt idx="135">
                  <c:v>3</c:v>
                </c:pt>
                <c:pt idx="136">
                  <c:v>3</c:v>
                </c:pt>
                <c:pt idx="137">
                  <c:v>3</c:v>
                </c:pt>
                <c:pt idx="138">
                  <c:v>2</c:v>
                </c:pt>
                <c:pt idx="139">
                  <c:v>4</c:v>
                </c:pt>
                <c:pt idx="140">
                  <c:v>3</c:v>
                </c:pt>
                <c:pt idx="141">
                  <c:v>3</c:v>
                </c:pt>
                <c:pt idx="142">
                  <c:v>4</c:v>
                </c:pt>
                <c:pt idx="143">
                  <c:v>3</c:v>
                </c:pt>
                <c:pt idx="144">
                  <c:v>3</c:v>
                </c:pt>
                <c:pt idx="145">
                  <c:v>3</c:v>
                </c:pt>
                <c:pt idx="146">
                  <c:v>3</c:v>
                </c:pt>
                <c:pt idx="147">
                  <c:v>5</c:v>
                </c:pt>
                <c:pt idx="148">
                  <c:v>1</c:v>
                </c:pt>
                <c:pt idx="149">
                  <c:v>3</c:v>
                </c:pt>
                <c:pt idx="150">
                  <c:v>3</c:v>
                </c:pt>
                <c:pt idx="151">
                  <c:v>4</c:v>
                </c:pt>
                <c:pt idx="152">
                  <c:v>3</c:v>
                </c:pt>
                <c:pt idx="153">
                  <c:v>3</c:v>
                </c:pt>
                <c:pt idx="154">
                  <c:v>3</c:v>
                </c:pt>
                <c:pt idx="155">
                  <c:v>3</c:v>
                </c:pt>
                <c:pt idx="156">
                  <c:v>4</c:v>
                </c:pt>
                <c:pt idx="157">
                  <c:v>4</c:v>
                </c:pt>
                <c:pt idx="158">
                  <c:v>3</c:v>
                </c:pt>
                <c:pt idx="159">
                  <c:v>3</c:v>
                </c:pt>
                <c:pt idx="160">
                  <c:v>3</c:v>
                </c:pt>
                <c:pt idx="161">
                  <c:v>3</c:v>
                </c:pt>
                <c:pt idx="162">
                  <c:v>3</c:v>
                </c:pt>
                <c:pt idx="163">
                  <c:v>2</c:v>
                </c:pt>
                <c:pt idx="164">
                  <c:v>3</c:v>
                </c:pt>
                <c:pt idx="165">
                  <c:v>3</c:v>
                </c:pt>
                <c:pt idx="166">
                  <c:v>3</c:v>
                </c:pt>
                <c:pt idx="167">
                  <c:v>3</c:v>
                </c:pt>
                <c:pt idx="168">
                  <c:v>3</c:v>
                </c:pt>
                <c:pt idx="169">
                  <c:v>4</c:v>
                </c:pt>
                <c:pt idx="170">
                  <c:v>3</c:v>
                </c:pt>
                <c:pt idx="171">
                  <c:v>3</c:v>
                </c:pt>
                <c:pt idx="172">
                  <c:v>3</c:v>
                </c:pt>
                <c:pt idx="173">
                  <c:v>3</c:v>
                </c:pt>
                <c:pt idx="174">
                  <c:v>1</c:v>
                </c:pt>
                <c:pt idx="175">
                  <c:v>3</c:v>
                </c:pt>
                <c:pt idx="176">
                  <c:v>3</c:v>
                </c:pt>
                <c:pt idx="177">
                  <c:v>3</c:v>
                </c:pt>
                <c:pt idx="178">
                  <c:v>3</c:v>
                </c:pt>
                <c:pt idx="179">
                  <c:v>3</c:v>
                </c:pt>
                <c:pt idx="180">
                  <c:v>3</c:v>
                </c:pt>
                <c:pt idx="181">
                  <c:v>2</c:v>
                </c:pt>
                <c:pt idx="182">
                  <c:v>3</c:v>
                </c:pt>
              </c:numCache>
            </c:numRef>
          </c:yVal>
          <c:smooth val="0"/>
          <c:extLst>
            <c:ext xmlns:c16="http://schemas.microsoft.com/office/drawing/2014/chart" uri="{C3380CC4-5D6E-409C-BE32-E72D297353CC}">
              <c16:uniqueId val="{00000000-A04B-4037-B658-A0C36C6B4C26}"/>
            </c:ext>
          </c:extLst>
        </c:ser>
        <c:dLbls>
          <c:dLblPos val="b"/>
          <c:showLegendKey val="0"/>
          <c:showVal val="1"/>
          <c:showCatName val="0"/>
          <c:showSerName val="0"/>
          <c:showPercent val="0"/>
          <c:showBubbleSize val="0"/>
        </c:dLbls>
        <c:axId val="231382303"/>
        <c:axId val="231382783"/>
      </c:scatterChart>
      <c:valAx>
        <c:axId val="231382303"/>
        <c:scaling>
          <c:orientation val="minMax"/>
        </c:scaling>
        <c:delete val="0"/>
        <c:axPos val="b"/>
        <c:majorGridlines>
          <c:spPr>
            <a:ln w="9525" cap="flat" cmpd="sng" algn="ctr">
              <a:solidFill>
                <a:schemeClr val="dk1">
                  <a:lumMod val="15000"/>
                  <a:lumOff val="85000"/>
                </a:schemeClr>
              </a:solidFill>
              <a:round/>
            </a:ln>
            <a:effectLst/>
          </c:spPr>
        </c:majorGridlines>
        <c:numFmt formatCode="&quot;$&quot;#,##0.00" sourceLinked="1"/>
        <c:majorTickMark val="none"/>
        <c:minorTickMark val="none"/>
        <c:tickLblPos val="nextTo"/>
        <c:spPr>
          <a:noFill/>
          <a:ln w="9525" cap="flat" cmpd="sng" algn="ctr">
            <a:solidFill>
              <a:schemeClr val="dk1">
                <a:lumMod val="15000"/>
                <a:lumOff val="8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231382783"/>
        <c:crosses val="autoZero"/>
        <c:crossBetween val="midCat"/>
      </c:valAx>
      <c:valAx>
        <c:axId val="231382783"/>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231382303"/>
        <c:crosses val="autoZero"/>
        <c:crossBetween val="midCat"/>
      </c:valAx>
      <c:spPr>
        <a:pattFill prst="ltDnDiag">
          <a:fgClr>
            <a:schemeClr val="dk1">
              <a:lumMod val="15000"/>
              <a:lumOff val="85000"/>
            </a:schemeClr>
          </a:fgClr>
          <a:bgClr>
            <a:schemeClr val="lt1"/>
          </a:bgClr>
        </a:patt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[Excel(Adv.)-Awesome-Chocolate-Analysis.xlsx]Employee_Trend!PivotTable3</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Employee_Trend!$C$1</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errBars>
            <c:errDir val="y"/>
            <c:errBarType val="both"/>
            <c:errValType val="stdDev"/>
            <c:noEndCap val="0"/>
            <c:val val="1"/>
            <c:spPr>
              <a:noFill/>
              <a:ln w="9525">
                <a:solidFill>
                  <a:schemeClr val="dk1">
                    <a:lumMod val="65000"/>
                    <a:lumOff val="35000"/>
                  </a:schemeClr>
                </a:solidFill>
                <a:round/>
              </a:ln>
              <a:effectLst/>
            </c:spPr>
          </c:errBars>
          <c:cat>
            <c:multiLvlStrRef>
              <c:f>Employee_Trend!$B$2:$B$14</c:f>
              <c:multiLvlStrCache>
                <c:ptCount val="11"/>
                <c:lvl>
                  <c:pt idx="0">
                    <c:v>May</c:v>
                  </c:pt>
                  <c:pt idx="1">
                    <c:v>Jun</c:v>
                  </c:pt>
                  <c:pt idx="2">
                    <c:v>Jul</c:v>
                  </c:pt>
                  <c:pt idx="3">
                    <c:v>Aug</c:v>
                  </c:pt>
                  <c:pt idx="4">
                    <c:v>Sep</c:v>
                  </c:pt>
                  <c:pt idx="5">
                    <c:v>Oct</c:v>
                  </c:pt>
                  <c:pt idx="6">
                    <c:v>Nov</c:v>
                  </c:pt>
                  <c:pt idx="7">
                    <c:v>Dec</c:v>
                  </c:pt>
                </c:lvl>
                <c:lvl>
                  <c:pt idx="0">
                    <c:v>2020</c:v>
                  </c:pt>
                  <c:pt idx="8">
                    <c:v>2021</c:v>
                  </c:pt>
                  <c:pt idx="9">
                    <c:v>2022</c:v>
                  </c:pt>
                  <c:pt idx="10">
                    <c:v>2023</c:v>
                  </c:pt>
                </c:lvl>
              </c:multiLvlStrCache>
            </c:multiLvlStrRef>
          </c:cat>
          <c:val>
            <c:numRef>
              <c:f>Employee_Trend!$C$2:$C$14</c:f>
              <c:numCache>
                <c:formatCode>General</c:formatCode>
                <c:ptCount val="11"/>
                <c:pt idx="0">
                  <c:v>5</c:v>
                </c:pt>
                <c:pt idx="1">
                  <c:v>1</c:v>
                </c:pt>
                <c:pt idx="2">
                  <c:v>3</c:v>
                </c:pt>
                <c:pt idx="3">
                  <c:v>2</c:v>
                </c:pt>
                <c:pt idx="4">
                  <c:v>5</c:v>
                </c:pt>
                <c:pt idx="5">
                  <c:v>5</c:v>
                </c:pt>
                <c:pt idx="6">
                  <c:v>3</c:v>
                </c:pt>
                <c:pt idx="7">
                  <c:v>3</c:v>
                </c:pt>
                <c:pt idx="8">
                  <c:v>49</c:v>
                </c:pt>
                <c:pt idx="9">
                  <c:v>35</c:v>
                </c:pt>
                <c:pt idx="10">
                  <c:v>1</c:v>
                </c:pt>
              </c:numCache>
            </c:numRef>
          </c:val>
          <c:smooth val="0"/>
          <c:extLst>
            <c:ext xmlns:c16="http://schemas.microsoft.com/office/drawing/2014/chart" uri="{C3380CC4-5D6E-409C-BE32-E72D297353CC}">
              <c16:uniqueId val="{00000000-DD25-4ED1-9846-7AF3398D7DAE}"/>
            </c:ext>
          </c:extLst>
        </c:ser>
        <c:dLbls>
          <c:dLblPos val="ctr"/>
          <c:showLegendKey val="0"/>
          <c:showVal val="1"/>
          <c:showCatName val="0"/>
          <c:showSerName val="0"/>
          <c:showPercent val="0"/>
          <c:showBubbleSize val="0"/>
        </c:dLbls>
        <c:marker val="1"/>
        <c:smooth val="0"/>
        <c:axId val="1298690496"/>
        <c:axId val="1298690976"/>
      </c:lineChart>
      <c:catAx>
        <c:axId val="129869049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98690976"/>
        <c:crosses val="autoZero"/>
        <c:auto val="1"/>
        <c:lblAlgn val="ctr"/>
        <c:lblOffset val="100"/>
        <c:noMultiLvlLbl val="0"/>
      </c:catAx>
      <c:valAx>
        <c:axId val="129869097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29869049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[Excel(Adv.)-Awesome-Chocolate-Analysis.xlsx]Pivot_Tables!PivotTable6</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Pivot_Tables!$I$3</c:f>
              <c:strCache>
                <c:ptCount val="1"/>
                <c:pt idx="0">
                  <c:v>Total</c:v>
                </c:pt>
              </c:strCache>
            </c:strRef>
          </c:tx>
          <c:spPr>
            <a:solidFill>
              <a:schemeClr val="accent1"/>
            </a:solidFill>
            <a:ln>
              <a:noFill/>
            </a:ln>
            <a:effectLst/>
          </c:spPr>
          <c:invertIfNegative val="0"/>
          <c:cat>
            <c:strRef>
              <c:f>Pivot_Tables!$H$4:$H$9</c:f>
              <c:strCache>
                <c:ptCount val="5"/>
                <c:pt idx="0">
                  <c:v>Procurement</c:v>
                </c:pt>
                <c:pt idx="1">
                  <c:v>Website</c:v>
                </c:pt>
                <c:pt idx="2">
                  <c:v>Finance</c:v>
                </c:pt>
                <c:pt idx="3">
                  <c:v>Sales</c:v>
                </c:pt>
                <c:pt idx="4">
                  <c:v>HR</c:v>
                </c:pt>
              </c:strCache>
            </c:strRef>
          </c:cat>
          <c:val>
            <c:numRef>
              <c:f>Pivot_Tables!$I$4:$I$9</c:f>
              <c:numCache>
                <c:formatCode>General</c:formatCode>
                <c:ptCount val="5"/>
                <c:pt idx="0">
                  <c:v>55</c:v>
                </c:pt>
                <c:pt idx="1">
                  <c:v>54</c:v>
                </c:pt>
                <c:pt idx="2">
                  <c:v>38</c:v>
                </c:pt>
                <c:pt idx="3">
                  <c:v>28</c:v>
                </c:pt>
                <c:pt idx="4">
                  <c:v>8</c:v>
                </c:pt>
              </c:numCache>
            </c:numRef>
          </c:val>
          <c:extLst>
            <c:ext xmlns:c16="http://schemas.microsoft.com/office/drawing/2014/chart" uri="{C3380CC4-5D6E-409C-BE32-E72D297353CC}">
              <c16:uniqueId val="{00000000-1C6C-4791-BDF1-635A5D4CCA85}"/>
            </c:ext>
          </c:extLst>
        </c:ser>
        <c:dLbls>
          <c:showLegendKey val="0"/>
          <c:showVal val="0"/>
          <c:showCatName val="0"/>
          <c:showSerName val="0"/>
          <c:showPercent val="0"/>
          <c:showBubbleSize val="0"/>
        </c:dLbls>
        <c:gapWidth val="25"/>
        <c:axId val="300105183"/>
        <c:axId val="300102783"/>
      </c:barChart>
      <c:catAx>
        <c:axId val="300105183"/>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0102783"/>
        <c:crosses val="autoZero"/>
        <c:auto val="1"/>
        <c:lblAlgn val="ctr"/>
        <c:lblOffset val="100"/>
        <c:noMultiLvlLbl val="0"/>
      </c:catAx>
      <c:valAx>
        <c:axId val="300102783"/>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0105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[Excel(Adv.)-Awesome-Chocolate-Analysis.xlsx]Pivot_Tables!PivotTable5</c:name>
    <c:fmtId val="4"/>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Pivot_Tables!$F$3</c:f>
              <c:strCache>
                <c:ptCount val="1"/>
                <c:pt idx="0">
                  <c:v>Total</c:v>
                </c:pt>
              </c:strCache>
            </c:strRef>
          </c:tx>
          <c:spPr>
            <a:solidFill>
              <a:schemeClr val="accent2"/>
            </a:solidFill>
            <a:ln>
              <a:noFill/>
            </a:ln>
            <a:effectLst/>
          </c:spPr>
          <c:invertIfNegative val="0"/>
          <c:cat>
            <c:strRef>
              <c:f>Pivot_Tables!$E$4:$E$9</c:f>
              <c:strCache>
                <c:ptCount val="5"/>
                <c:pt idx="0">
                  <c:v>Procurement</c:v>
                </c:pt>
                <c:pt idx="1">
                  <c:v>Website</c:v>
                </c:pt>
                <c:pt idx="2">
                  <c:v>Finance</c:v>
                </c:pt>
                <c:pt idx="3">
                  <c:v>Sales</c:v>
                </c:pt>
                <c:pt idx="4">
                  <c:v>HR</c:v>
                </c:pt>
              </c:strCache>
            </c:strRef>
          </c:cat>
          <c:val>
            <c:numRef>
              <c:f>Pivot_Tables!$F$4:$F$9</c:f>
              <c:numCache>
                <c:formatCode>General</c:formatCode>
                <c:ptCount val="5"/>
                <c:pt idx="0">
                  <c:v>55</c:v>
                </c:pt>
                <c:pt idx="1">
                  <c:v>54</c:v>
                </c:pt>
                <c:pt idx="2">
                  <c:v>38</c:v>
                </c:pt>
                <c:pt idx="3">
                  <c:v>28</c:v>
                </c:pt>
                <c:pt idx="4">
                  <c:v>8</c:v>
                </c:pt>
              </c:numCache>
            </c:numRef>
          </c:val>
          <c:extLst>
            <c:ext xmlns:c16="http://schemas.microsoft.com/office/drawing/2014/chart" uri="{C3380CC4-5D6E-409C-BE32-E72D297353CC}">
              <c16:uniqueId val="{00000000-3552-4932-87BE-1D7283D75B6D}"/>
            </c:ext>
          </c:extLst>
        </c:ser>
        <c:dLbls>
          <c:showLegendKey val="0"/>
          <c:showVal val="0"/>
          <c:showCatName val="0"/>
          <c:showSerName val="0"/>
          <c:showPercent val="0"/>
          <c:showBubbleSize val="0"/>
        </c:dLbls>
        <c:gapWidth val="25"/>
        <c:axId val="242248351"/>
        <c:axId val="242249311"/>
      </c:barChart>
      <c:catAx>
        <c:axId val="242248351"/>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2249311"/>
        <c:crosses val="autoZero"/>
        <c:auto val="1"/>
        <c:lblAlgn val="ctr"/>
        <c:lblOffset val="100"/>
        <c:noMultiLvlLbl val="0"/>
      </c:catAx>
      <c:valAx>
        <c:axId val="242249311"/>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2248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_xlchart.v1.2</cx:f>
      </cx:numDim>
    </cx:data>
  </cx:chartData>
  <cx:chart>
    <cx:title pos="t" align="ctr" overlay="0">
      <cx:tx>
        <cx:txData>
          <cx:v>Salary Spread by-$10K</cx:v>
        </cx:txData>
      </cx:tx>
      <cx:txPr>
        <a:bodyPr spcFirstLastPara="1" vertOverflow="ellipsis" horzOverflow="overflow" wrap="square" lIns="0" tIns="0" rIns="0" bIns="0" anchor="ctr" anchorCtr="1"/>
        <a:lstStyle/>
        <a:p>
          <a:pPr algn="ctr" rtl="0">
            <a:defRPr/>
          </a:pPr>
          <a:r>
            <a:rPr lang="en-US" sz="1600" b="1" i="0" u="none" strike="noStrike" spc="100" baseline="0">
              <a:solidFill>
                <a:sysClr val="window" lastClr="FFFFFF">
                  <a:lumMod val="95000"/>
                </a:sysClr>
              </a:solidFill>
              <a:effectLst>
                <a:outerShdw blurRad="50800" dist="38100" dir="5400000" algn="t" rotWithShape="0">
                  <a:prstClr val="black">
                    <a:alpha val="40000"/>
                  </a:prstClr>
                </a:outerShdw>
              </a:effectLst>
              <a:latin typeface="Calibri" panose="020F0502020204030204"/>
            </a:rPr>
            <a:t>Salary Spread by-$10K</a:t>
          </a:r>
        </a:p>
      </cx:txPr>
    </cx:title>
    <cx:plotArea>
      <cx:plotAreaRegion>
        <cx:series layoutId="clusteredColumn" uniqueId="{DE8C3B2B-B103-41ED-A53B-EC663113CDF9}">
          <cx:tx>
            <cx:txData>
              <cx:f>_xlchart.v1.1</cx:f>
              <cx:v>Salary</cx:v>
            </cx:txData>
          </cx:tx>
          <cx:dataLabels pos="outEnd">
            <cx:visibility seriesName="0" categoryName="0" value="1"/>
            <cx:separator>, </cx:separator>
          </cx:dataLabels>
          <cx:dataId val="0"/>
          <cx:layoutPr>
            <cx:binning intervalClosed="r"/>
          </cx:layoutPr>
        </cx:series>
      </cx:plotAreaRegion>
      <cx:axis id="0">
        <cx:catScaling gapWidth="0"/>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txData>
          <cx:v>Salary Spread-Box Plot</cx:v>
        </cx:txData>
      </cx:tx>
      <cx:txPr>
        <a:bodyPr spcFirstLastPara="1" vertOverflow="ellipsis" horzOverflow="overflow" wrap="square" lIns="0" tIns="0" rIns="0" bIns="0" anchor="ctr" anchorCtr="1"/>
        <a:lstStyle/>
        <a:p>
          <a:pPr algn="ctr" rtl="0">
            <a:defRPr/>
          </a:pPr>
          <a:r>
            <a:rPr lang="en-US" sz="1600" b="1" i="0" u="none" strike="noStrike" spc="100" baseline="0">
              <a:solidFill>
                <a:sysClr val="window" lastClr="FFFFFF">
                  <a:lumMod val="95000"/>
                </a:sysClr>
              </a:solidFill>
              <a:effectLst>
                <a:outerShdw blurRad="50800" dist="38100" dir="5400000" algn="t" rotWithShape="0">
                  <a:prstClr val="black">
                    <a:alpha val="40000"/>
                  </a:prstClr>
                </a:outerShdw>
              </a:effectLst>
              <a:latin typeface="Calibri" panose="020F0502020204030204"/>
            </a:rPr>
            <a:t>Salary Spread-Box Plot</a:t>
          </a:r>
        </a:p>
      </cx:txPr>
    </cx:title>
    <cx:plotArea>
      <cx:plotAreaRegion>
        <cx:series layoutId="boxWhisker" uniqueId="{C8B8DDFA-37B3-47F5-95B4-165ABA075D2D}">
          <cx:dataLabels pos="b">
            <cx:visibility seriesName="1" categoryName="1" value="1"/>
            <cx:separator>, </cx:separator>
          </cx:dataLabels>
          <cx:dataId val="0"/>
          <cx:layoutPr>
            <cx:visibility meanLine="1" meanMarker="1" nonoutliers="0" outliers="1"/>
            <cx:statistics quartileMethod="exclusive"/>
          </cx:layoutPr>
        </cx:series>
      </cx:plotAreaRegion>
      <cx:axis id="0">
        <cx:catScaling gapWidth="1.5"/>
        <cx:tickLabels/>
      </cx:axis>
      <cx:axis id="1">
        <cx:valScaling/>
        <cx:majorGridlines/>
        <cx:tickLabels/>
      </cx:axis>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 lastClr="FFFFFF">
                <a:lumMod val="95000"/>
              </a:sysClr>
            </a:solidFill>
            <a:latin typeface="Calibri" panose="020F0502020204030204"/>
          </a:endParaRPr>
        </a:p>
      </cx:txPr>
    </cx:legend>
  </cx:chart>
</cx: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70">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409">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lt1"/>
    </cs:fontRef>
    <cs:spPr>
      <a:ln>
        <a:solidFill>
          <a:schemeClr val="ph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0">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alpha val="54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tx1"/>
    </cs:fontRef>
    <cs:spPr>
      <a:ln w="9525" cap="rnd">
        <a:solidFill>
          <a:schemeClr val="phClr">
            <a:alpha val="50000"/>
          </a:scheme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15000"/>
            <a:lumOff val="8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spPr>
      <a:ln w="9525" cap="flat" cmpd="sng" algn="ctr">
        <a:solidFill>
          <a:schemeClr val="dk1">
            <a:lumMod val="15000"/>
            <a:lumOff val="85000"/>
            <a:alpha val="54000"/>
          </a:schemeClr>
        </a:solidFill>
        <a:round/>
      </a:ln>
    </cs:spPr>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spPr>
      <a:ln w="9525" cap="flat" cmpd="sng" algn="ctr">
        <a:solidFill>
          <a:schemeClr val="dk1">
            <a:lumMod val="15000"/>
            <a:lumOff val="85000"/>
            <a:alpha val="54000"/>
          </a:schemeClr>
        </a:solidFill>
        <a:round/>
      </a:ln>
    </cs:spPr>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4.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2" Type="http://schemas.microsoft.com/office/2014/relationships/chartEx" Target="../charts/chartEx2.xml"/><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3</xdr:row>
      <xdr:rowOff>182879</xdr:rowOff>
    </xdr:from>
    <xdr:to>
      <xdr:col>6</xdr:col>
      <xdr:colOff>0</xdr:colOff>
      <xdr:row>10</xdr:row>
      <xdr:rowOff>0</xdr:rowOff>
    </xdr:to>
    <mc:AlternateContent xmlns:mc="http://schemas.openxmlformats.org/markup-compatibility/2006">
      <mc:Choice xmlns:a14="http://schemas.microsoft.com/office/drawing/2010/main" Requires="a14">
        <xdr:graphicFrame macro="">
          <xdr:nvGraphicFramePr>
            <xdr:cNvPr id="2" name="Country">
              <a:extLst>
                <a:ext uri="{FF2B5EF4-FFF2-40B4-BE49-F238E27FC236}">
                  <a16:creationId xmlns:a16="http://schemas.microsoft.com/office/drawing/2014/main" id="{35060BE5-153F-094B-FEE5-90E28C5A35DF}"/>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4030980" y="731519"/>
              <a:ext cx="1889760" cy="10972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175260</xdr:colOff>
      <xdr:row>1</xdr:row>
      <xdr:rowOff>45720</xdr:rowOff>
    </xdr:from>
    <xdr:to>
      <xdr:col>7</xdr:col>
      <xdr:colOff>480060</xdr:colOff>
      <xdr:row>16</xdr:row>
      <xdr:rowOff>45720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E938E47F-F818-4B10-A65B-074BC172BF0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75260" y="22860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0</xdr:colOff>
      <xdr:row>1</xdr:row>
      <xdr:rowOff>53340</xdr:rowOff>
    </xdr:from>
    <xdr:to>
      <xdr:col>14</xdr:col>
      <xdr:colOff>121920</xdr:colOff>
      <xdr:row>16</xdr:row>
      <xdr:rowOff>76200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7399FEB6-6EC2-423A-89F5-136D22F6BDE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4876800" y="236220"/>
              <a:ext cx="3779520" cy="276606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60960</xdr:colOff>
      <xdr:row>7</xdr:row>
      <xdr:rowOff>91440</xdr:rowOff>
    </xdr:from>
    <xdr:to>
      <xdr:col>14</xdr:col>
      <xdr:colOff>22860</xdr:colOff>
      <xdr:row>26</xdr:row>
      <xdr:rowOff>160020</xdr:rowOff>
    </xdr:to>
    <xdr:graphicFrame macro="">
      <xdr:nvGraphicFramePr>
        <xdr:cNvPr id="2" name="Chart 1">
          <a:extLst>
            <a:ext uri="{FF2B5EF4-FFF2-40B4-BE49-F238E27FC236}">
              <a16:creationId xmlns:a16="http://schemas.microsoft.com/office/drawing/2014/main" id="{9EA0FF0F-A586-45AD-BA18-16F8333CA4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137160</xdr:colOff>
      <xdr:row>0</xdr:row>
      <xdr:rowOff>41910</xdr:rowOff>
    </xdr:from>
    <xdr:to>
      <xdr:col>16</xdr:col>
      <xdr:colOff>579120</xdr:colOff>
      <xdr:row>21</xdr:row>
      <xdr:rowOff>160020</xdr:rowOff>
    </xdr:to>
    <xdr:graphicFrame macro="">
      <xdr:nvGraphicFramePr>
        <xdr:cNvPr id="2" name="Chart 1">
          <a:extLst>
            <a:ext uri="{FF2B5EF4-FFF2-40B4-BE49-F238E27FC236}">
              <a16:creationId xmlns:a16="http://schemas.microsoft.com/office/drawing/2014/main" id="{50F3D270-F26B-0CB7-875D-06E8080301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35859</xdr:colOff>
      <xdr:row>8</xdr:row>
      <xdr:rowOff>26894</xdr:rowOff>
    </xdr:from>
    <xdr:to>
      <xdr:col>11</xdr:col>
      <xdr:colOff>1048871</xdr:colOff>
      <xdr:row>24</xdr:row>
      <xdr:rowOff>143436</xdr:rowOff>
    </xdr:to>
    <xdr:graphicFrame macro="">
      <xdr:nvGraphicFramePr>
        <xdr:cNvPr id="2" name="Chart 1">
          <a:extLst>
            <a:ext uri="{FF2B5EF4-FFF2-40B4-BE49-F238E27FC236}">
              <a16:creationId xmlns:a16="http://schemas.microsoft.com/office/drawing/2014/main" id="{387B8BE6-425B-4EB6-8E00-18281D7B46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17930</xdr:colOff>
      <xdr:row>8</xdr:row>
      <xdr:rowOff>8964</xdr:rowOff>
    </xdr:from>
    <xdr:to>
      <xdr:col>17</xdr:col>
      <xdr:colOff>1075764</xdr:colOff>
      <xdr:row>24</xdr:row>
      <xdr:rowOff>170330</xdr:rowOff>
    </xdr:to>
    <xdr:graphicFrame macro="">
      <xdr:nvGraphicFramePr>
        <xdr:cNvPr id="3" name="Chart 2">
          <a:extLst>
            <a:ext uri="{FF2B5EF4-FFF2-40B4-BE49-F238E27FC236}">
              <a16:creationId xmlns:a16="http://schemas.microsoft.com/office/drawing/2014/main" id="{07F279E3-EA68-42DB-AA07-014FD607FE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217586</xdr:colOff>
      <xdr:row>4</xdr:row>
      <xdr:rowOff>10885</xdr:rowOff>
    </xdr:from>
    <xdr:to>
      <xdr:col>6</xdr:col>
      <xdr:colOff>217586</xdr:colOff>
      <xdr:row>11</xdr:row>
      <xdr:rowOff>65314</xdr:rowOff>
    </xdr:to>
    <mc:AlternateContent xmlns:mc="http://schemas.openxmlformats.org/markup-compatibility/2006">
      <mc:Choice xmlns:a14="http://schemas.microsoft.com/office/drawing/2010/main" Requires="a14">
        <xdr:graphicFrame macro="">
          <xdr:nvGraphicFramePr>
            <xdr:cNvPr id="6" name="Country 1">
              <a:extLst>
                <a:ext uri="{FF2B5EF4-FFF2-40B4-BE49-F238E27FC236}">
                  <a16:creationId xmlns:a16="http://schemas.microsoft.com/office/drawing/2014/main" id="{9D501A97-7B30-18FD-831C-4698D832AFBA}"/>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2046386" y="751114"/>
              <a:ext cx="1828800" cy="25690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199465</xdr:colOff>
      <xdr:row>11</xdr:row>
      <xdr:rowOff>163286</xdr:rowOff>
    </xdr:from>
    <xdr:to>
      <xdr:col>6</xdr:col>
      <xdr:colOff>199465</xdr:colOff>
      <xdr:row>24</xdr:row>
      <xdr:rowOff>185057</xdr:rowOff>
    </xdr:to>
    <mc:AlternateContent xmlns:mc="http://schemas.openxmlformats.org/markup-compatibility/2006">
      <mc:Choice xmlns:a14="http://schemas.microsoft.com/office/drawing/2010/main" Requires="a14">
        <xdr:graphicFrame macro="">
          <xdr:nvGraphicFramePr>
            <xdr:cNvPr id="7" name="Department">
              <a:extLst>
                <a:ext uri="{FF2B5EF4-FFF2-40B4-BE49-F238E27FC236}">
                  <a16:creationId xmlns:a16="http://schemas.microsoft.com/office/drawing/2014/main" id="{979068F7-2C96-5528-5A3B-DBDFD0141EE1}"/>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2028265" y="3418115"/>
              <a:ext cx="1828800" cy="24275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gabata Brahma" refreshedDate="46037.717393171297" backgroundQuery="1" createdVersion="8" refreshedVersion="8" minRefreshableVersion="3" recordCount="0" supportSubquery="1" supportAdvancedDrill="1" xr:uid="{05F24823-DDC7-4208-8513-61AFBBAA6123}">
  <cacheSource type="external" connectionId="4"/>
  <cacheFields count="6">
    <cacheField name="[All_Staff].[Gender].[Gender]" caption="Gender" numFmtId="0" hierarchy="1" level="1">
      <sharedItems count="2">
        <s v="Female"/>
        <s v="Male"/>
      </sharedItems>
    </cacheField>
    <cacheField name="[Measures].[Count of Name]" caption="Count of Name" numFmtId="0" hierarchy="26" level="32767"/>
    <cacheField name="[Measures].[Average of Age]" caption="Average of Age" numFmtId="0" hierarchy="25" level="32767"/>
    <cacheField name="[Measures].[Sum of Salary]" caption="Sum of Salary" numFmtId="0" hierarchy="24" level="32767"/>
    <cacheField name="[Measures].[Average of Tenure]" caption="Average of Tenure" numFmtId="0" hierarchy="28" level="32767"/>
    <cacheField name="[All_Staff].[Country].[Country]" caption="Country" numFmtId="0" hierarchy="7" level="1">
      <sharedItems containsSemiMixedTypes="0" containsNonDate="0" containsString="0"/>
    </cacheField>
  </cacheFields>
  <cacheHierarchies count="32">
    <cacheHierarchy uniqueName="[All_Staff].[Name]" caption="Name" attribute="1" defaultMemberUniqueName="[All_Staff].[Name].[All]" allUniqueName="[All_Staff].[Name].[All]" dimensionUniqueName="[All_Staff]" displayFolder="" count="0" memberValueDatatype="130" unbalanced="0"/>
    <cacheHierarchy uniqueName="[All_Staff].[Gender]" caption="Gender" attribute="1" defaultMemberUniqueName="[All_Staff].[Gender].[All]" allUniqueName="[All_Staff].[Gender].[All]" dimensionUniqueName="[All_Staff]" displayFolder="" count="2" memberValueDatatype="130" unbalanced="0">
      <fieldsUsage count="2">
        <fieldUsage x="-1"/>
        <fieldUsage x="0"/>
      </fieldsUsage>
    </cacheHierarchy>
    <cacheHierarchy uniqueName="[All_Staff].[Age]" caption="Age" attribute="1" defaultMemberUniqueName="[All_Staff].[Age].[All]" allUniqueName="[All_Staff].[Age].[All]" dimensionUniqueName="[All_Staff]" displayFolder="" count="0" memberValueDatatype="20" unbalanced="0"/>
    <cacheHierarchy uniqueName="[All_Staff].[Rating]" caption="Rating" attribute="1" defaultMemberUniqueName="[All_Staff].[Rating].[All]" allUniqueName="[All_Staff].[Rating].[All]" dimensionUniqueName="[All_Staff]" displayFolder="" count="0" memberValueDatatype="130" unbalanced="0"/>
    <cacheHierarchy uniqueName="[All_Staff].[Date Joined]" caption="Date Joined" attribute="1" time="1" defaultMemberUniqueName="[All_Staff].[Date Joined].[All]" allUniqueName="[All_Staff].[Date Joined].[All]" dimensionUniqueName="[All_Staff]" displayFolder="" count="0" memberValueDatatype="7" unbalanced="0"/>
    <cacheHierarchy uniqueName="[All_Staff].[Department]" caption="Department" attribute="1" defaultMemberUniqueName="[All_Staff].[Department].[All]" allUniqueName="[All_Staff].[Department].[All]" dimensionUniqueName="[All_Staff]" displayFolder="" count="0" memberValueDatatype="130" unbalanced="0"/>
    <cacheHierarchy uniqueName="[All_Staff].[Salary]" caption="Salary" attribute="1" defaultMemberUniqueName="[All_Staff].[Salary].[All]" allUniqueName="[All_Staff].[Salary].[All]" dimensionUniqueName="[All_Staff]" displayFolder="" count="0" memberValueDatatype="20" unbalanced="0"/>
    <cacheHierarchy uniqueName="[All_Staff].[Country]" caption="Country" attribute="1" defaultMemberUniqueName="[All_Staff].[Country].[All]" allUniqueName="[All_Staff].[Country].[All]" dimensionUniqueName="[All_Staff]" displayFolder="" count="2" memberValueDatatype="130" unbalanced="0">
      <fieldsUsage count="2">
        <fieldUsage x="-1"/>
        <fieldUsage x="5"/>
      </fieldsUsage>
    </cacheHierarchy>
    <cacheHierarchy uniqueName="[All_Staff].[Tenure]" caption="Tenure" attribute="1" defaultMemberUniqueName="[All_Staff].[Tenure].[All]" allUniqueName="[All_Staff].[Tenure].[All]" dimensionUniqueName="[All_Staff]" displayFolder="" count="0" memberValueDatatype="5" unbalanced="0"/>
    <cacheHierarchy uniqueName="[India_Staff].[Name]" caption="Name" attribute="1" defaultMemberUniqueName="[India_Staff].[Name].[All]" allUniqueName="[India_Staff].[Name].[All]" dimensionUniqueName="[India_Staff]" displayFolder="" count="0" memberValueDatatype="130" unbalanced="0"/>
    <cacheHierarchy uniqueName="[India_Staff].[Gender]" caption="Gender" attribute="1" defaultMemberUniqueName="[India_Staff].[Gender].[All]" allUniqueName="[India_Staff].[Gender].[All]" dimensionUniqueName="[India_Staff]" displayFolder="" count="0" memberValueDatatype="130" unbalanced="0"/>
    <cacheHierarchy uniqueName="[India_Staff].[Age]" caption="Age" attribute="1" defaultMemberUniqueName="[India_Staff].[Age].[All]" allUniqueName="[India_Staff].[Age].[All]" dimensionUniqueName="[India_Staff]" displayFolder="" count="0" memberValueDatatype="20" unbalanced="0"/>
    <cacheHierarchy uniqueName="[India_Staff].[Rating]" caption="Rating" attribute="1" defaultMemberUniqueName="[India_Staff].[Rating].[All]" allUniqueName="[India_Staff].[Rating].[All]" dimensionUniqueName="[India_Staff]" displayFolder="" count="0" memberValueDatatype="130" unbalanced="0"/>
    <cacheHierarchy uniqueName="[India_Staff].[Date Joined]" caption="Date Joined" attribute="1" time="1" defaultMemberUniqueName="[India_Staff].[Date Joined].[All]" allUniqueName="[India_Staff].[Date Joined].[All]" dimensionUniqueName="[India_Staff]" displayFolder="" count="0" memberValueDatatype="7" unbalanced="0"/>
    <cacheHierarchy uniqueName="[India_Staff].[Department]" caption="Department" attribute="1" defaultMemberUniqueName="[India_Staff].[Department].[All]" allUniqueName="[India_Staff].[Department].[All]" dimensionUniqueName="[India_Staff]" displayFolder="" count="0" memberValueDatatype="130" unbalanced="0"/>
    <cacheHierarchy uniqueName="[India_Staff].[Salary]" caption="Salary" attribute="1" defaultMemberUniqueName="[India_Staff].[Salary].[All]" allUniqueName="[India_Staff].[Salary].[All]" dimensionUniqueName="[India_Staff]" displayFolder="" count="0" memberValueDatatype="20" unbalanced="0"/>
    <cacheHierarchy uniqueName="[India_Staff].[Date Joined (Year)]" caption="Date Joined (Year)" attribute="1" defaultMemberUniqueName="[India_Staff].[Date Joined (Year)].[All]" allUniqueName="[India_Staff].[Date Joined (Year)].[All]" dimensionUniqueName="[India_Staff]" displayFolder="" count="0" memberValueDatatype="130" unbalanced="0"/>
    <cacheHierarchy uniqueName="[India_Staff].[Date Joined (Quarter)]" caption="Date Joined (Quarter)" attribute="1" defaultMemberUniqueName="[India_Staff].[Date Joined (Quarter)].[All]" allUniqueName="[India_Staff].[Date Joined (Quarter)].[All]" dimensionUniqueName="[India_Staff]" displayFolder="" count="0" memberValueDatatype="130" unbalanced="0"/>
    <cacheHierarchy uniqueName="[India_Staff].[Date Joined (Month)]" caption="Date Joined (Month)" attribute="1" defaultMemberUniqueName="[India_Staff].[Date Joined (Month)].[All]" allUniqueName="[India_Staff].[Date Joined (Month)].[All]" dimensionUniqueName="[India_Staff]" displayFolder="" count="0" memberValueDatatype="130" unbalanced="0"/>
    <cacheHierarchy uniqueName="[India_Staff].[Date Joined (Month Index)]" caption="Date Joined (Month Index)" attribute="1" defaultMemberUniqueName="[India_Staff].[Date Joined (Month Index)].[All]" allUniqueName="[India_Staff].[Date Joined (Month Index)].[All]" dimensionUniqueName="[India_Staff]" displayFolder="" count="0" memberValueDatatype="20" unbalanced="0" hidden="1"/>
    <cacheHierarchy uniqueName="[Measures].[__XL_Count All_Staff]" caption="__XL_Count All_Staff" measure="1" displayFolder="" measureGroup="All_Staff" count="0" hidden="1"/>
    <cacheHierarchy uniqueName="[Measures].[__XL_Count India_Staff]" caption="__XL_Count India_Staff" measure="1" displayFolder="" measureGroup="India_Staff" count="0" hidden="1"/>
    <cacheHierarchy uniqueName="[Measures].[__No measures defined]" caption="__No measures defined" measure="1" displayFolder="" count="0" hidden="1"/>
    <cacheHierarchy uniqueName="[Measures].[Sum of Age]" caption="Sum of Age" measure="1" displayFolder="" measureGroup="All_Staff" count="0" hidden="1">
      <extLst>
        <ext xmlns:x15="http://schemas.microsoft.com/office/spreadsheetml/2010/11/main" uri="{B97F6D7D-B522-45F9-BDA1-12C45D357490}">
          <x15:cacheHierarchy aggregatedColumn="2"/>
        </ext>
      </extLst>
    </cacheHierarchy>
    <cacheHierarchy uniqueName="[Measures].[Sum of Salary]" caption="Sum of Salary" measure="1" displayFolder="" measureGroup="All_Staff" count="0" oneField="1" hidden="1">
      <fieldsUsage count="1">
        <fieldUsage x="3"/>
      </fieldsUsage>
      <extLst>
        <ext xmlns:x15="http://schemas.microsoft.com/office/spreadsheetml/2010/11/main" uri="{B97F6D7D-B522-45F9-BDA1-12C45D357490}">
          <x15:cacheHierarchy aggregatedColumn="6"/>
        </ext>
      </extLst>
    </cacheHierarchy>
    <cacheHierarchy uniqueName="[Measures].[Average of Age]" caption="Average of Age" measure="1" displayFolder="" measureGroup="All_Staff" count="0" oneField="1" hidden="1">
      <fieldsUsage count="1">
        <fieldUsage x="2"/>
      </fieldsUsage>
      <extLst>
        <ext xmlns:x15="http://schemas.microsoft.com/office/spreadsheetml/2010/11/main" uri="{B97F6D7D-B522-45F9-BDA1-12C45D357490}">
          <x15:cacheHierarchy aggregatedColumn="2"/>
        </ext>
      </extLst>
    </cacheHierarchy>
    <cacheHierarchy uniqueName="[Measures].[Count of Name]" caption="Count of Name" measure="1" displayFolder="" measureGroup="All_Staff"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Tenure]" caption="Sum of Tenure" measure="1" displayFolder="" measureGroup="All_Staff" count="0" hidden="1">
      <extLst>
        <ext xmlns:x15="http://schemas.microsoft.com/office/spreadsheetml/2010/11/main" uri="{B97F6D7D-B522-45F9-BDA1-12C45D357490}">
          <x15:cacheHierarchy aggregatedColumn="8"/>
        </ext>
      </extLst>
    </cacheHierarchy>
    <cacheHierarchy uniqueName="[Measures].[Average of Tenure]" caption="Average of Tenure" measure="1" displayFolder="" measureGroup="All_Staff" count="0" oneField="1" hidden="1">
      <fieldsUsage count="1">
        <fieldUsage x="4"/>
      </fieldsUsage>
      <extLst>
        <ext xmlns:x15="http://schemas.microsoft.com/office/spreadsheetml/2010/11/main" uri="{B97F6D7D-B522-45F9-BDA1-12C45D357490}">
          <x15:cacheHierarchy aggregatedColumn="8"/>
        </ext>
      </extLst>
    </cacheHierarchy>
    <cacheHierarchy uniqueName="[Measures].[Count of Name 2]" caption="Count of Name 2" measure="1" displayFolder="" measureGroup="India_Staff" count="0" hidden="1">
      <extLst>
        <ext xmlns:x15="http://schemas.microsoft.com/office/spreadsheetml/2010/11/main" uri="{B97F6D7D-B522-45F9-BDA1-12C45D357490}">
          <x15:cacheHierarchy aggregatedColumn="9"/>
        </ext>
      </extLst>
    </cacheHierarchy>
    <cacheHierarchy uniqueName="[Measures].[Sum of Salary 2]" caption="Sum of Salary 2" measure="1" displayFolder="" measureGroup="India_Staff" count="0" hidden="1">
      <extLst>
        <ext xmlns:x15="http://schemas.microsoft.com/office/spreadsheetml/2010/11/main" uri="{B97F6D7D-B522-45F9-BDA1-12C45D357490}">
          <x15:cacheHierarchy aggregatedColumn="15"/>
        </ext>
      </extLst>
    </cacheHierarchy>
    <cacheHierarchy uniqueName="[Measures].[Average of Salary]" caption="Average of Salary" measure="1" displayFolder="" measureGroup="India_Staff" count="0" hidden="1">
      <extLst>
        <ext xmlns:x15="http://schemas.microsoft.com/office/spreadsheetml/2010/11/main" uri="{B97F6D7D-B522-45F9-BDA1-12C45D357490}">
          <x15:cacheHierarchy aggregatedColumn="15"/>
        </ext>
      </extLst>
    </cacheHierarchy>
  </cacheHierarchies>
  <kpis count="0"/>
  <dimensions count="3">
    <dimension name="All_Staff" uniqueName="[All_Staff]" caption="All_Staff"/>
    <dimension name="India_Staff" uniqueName="[India_Staff]" caption="India_Staff"/>
    <dimension measure="1" name="Measures" uniqueName="[Measures]" caption="Measures"/>
  </dimensions>
  <measureGroups count="2">
    <measureGroup name="All_Staff" caption="All_Staff"/>
    <measureGroup name="India_Staff" caption="India_Staff"/>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gabata Brahma" refreshedDate="46037.788828009259" backgroundQuery="1" createdVersion="8" refreshedVersion="8" minRefreshableVersion="3" recordCount="0" supportSubquery="1" supportAdvancedDrill="1" xr:uid="{497BA039-D75A-4EA8-8930-D8460A7A3EB3}">
  <cacheSource type="external" connectionId="4"/>
  <cacheFields count="3">
    <cacheField name="[India_Staff].[Rating].[Rating]" caption="Rating" numFmtId="0" hierarchy="12" level="1">
      <sharedItems count="5">
        <s v="Above average"/>
        <s v="Average"/>
        <s v="Exceptional"/>
        <s v="Poor"/>
        <s v="Very poor"/>
      </sharedItems>
    </cacheField>
    <cacheField name="[Measures].[Count of Name 2]" caption="Count of Name 2" numFmtId="0" hierarchy="29" level="32767"/>
    <cacheField name="[Measures].[Average of Salary]" caption="Average of Salary" numFmtId="0" hierarchy="31" level="32767"/>
  </cacheFields>
  <cacheHierarchies count="32">
    <cacheHierarchy uniqueName="[All_Staff].[Name]" caption="Name" attribute="1" defaultMemberUniqueName="[All_Staff].[Name].[All]" allUniqueName="[All_Staff].[Name].[All]" dimensionUniqueName="[All_Staff]" displayFolder="" count="0" memberValueDatatype="130" unbalanced="0"/>
    <cacheHierarchy uniqueName="[All_Staff].[Gender]" caption="Gender" attribute="1" defaultMemberUniqueName="[All_Staff].[Gender].[All]" allUniqueName="[All_Staff].[Gender].[All]" dimensionUniqueName="[All_Staff]" displayFolder="" count="0" memberValueDatatype="130" unbalanced="0"/>
    <cacheHierarchy uniqueName="[All_Staff].[Age]" caption="Age" attribute="1" defaultMemberUniqueName="[All_Staff].[Age].[All]" allUniqueName="[All_Staff].[Age].[All]" dimensionUniqueName="[All_Staff]" displayFolder="" count="0" memberValueDatatype="20" unbalanced="0"/>
    <cacheHierarchy uniqueName="[All_Staff].[Rating]" caption="Rating" attribute="1" defaultMemberUniqueName="[All_Staff].[Rating].[All]" allUniqueName="[All_Staff].[Rating].[All]" dimensionUniqueName="[All_Staff]" displayFolder="" count="0" memberValueDatatype="130" unbalanced="0"/>
    <cacheHierarchy uniqueName="[All_Staff].[Date Joined]" caption="Date Joined" attribute="1" time="1" defaultMemberUniqueName="[All_Staff].[Date Joined].[All]" allUniqueName="[All_Staff].[Date Joined].[All]" dimensionUniqueName="[All_Staff]" displayFolder="" count="0" memberValueDatatype="7" unbalanced="0"/>
    <cacheHierarchy uniqueName="[All_Staff].[Department]" caption="Department" attribute="1" defaultMemberUniqueName="[All_Staff].[Department].[All]" allUniqueName="[All_Staff].[Department].[All]" dimensionUniqueName="[All_Staff]" displayFolder="" count="0" memberValueDatatype="130" unbalanced="0"/>
    <cacheHierarchy uniqueName="[All_Staff].[Salary]" caption="Salary" attribute="1" defaultMemberUniqueName="[All_Staff].[Salary].[All]" allUniqueName="[All_Staff].[Salary].[All]" dimensionUniqueName="[All_Staff]" displayFolder="" count="0" memberValueDatatype="20" unbalanced="0"/>
    <cacheHierarchy uniqueName="[All_Staff].[Country]" caption="Country" attribute="1" defaultMemberUniqueName="[All_Staff].[Country].[All]" allUniqueName="[All_Staff].[Country].[All]" dimensionUniqueName="[All_Staff]" displayFolder="" count="0" memberValueDatatype="130" unbalanced="0"/>
    <cacheHierarchy uniqueName="[All_Staff].[Tenure]" caption="Tenure" attribute="1" defaultMemberUniqueName="[All_Staff].[Tenure].[All]" allUniqueName="[All_Staff].[Tenure].[All]" dimensionUniqueName="[All_Staff]" displayFolder="" count="0" memberValueDatatype="5" unbalanced="0"/>
    <cacheHierarchy uniqueName="[India_Staff].[Name]" caption="Name" attribute="1" defaultMemberUniqueName="[India_Staff].[Name].[All]" allUniqueName="[India_Staff].[Name].[All]" dimensionUniqueName="[India_Staff]" displayFolder="" count="0" memberValueDatatype="130" unbalanced="0"/>
    <cacheHierarchy uniqueName="[India_Staff].[Gender]" caption="Gender" attribute="1" defaultMemberUniqueName="[India_Staff].[Gender].[All]" allUniqueName="[India_Staff].[Gender].[All]" dimensionUniqueName="[India_Staff]" displayFolder="" count="0" memberValueDatatype="130" unbalanced="0"/>
    <cacheHierarchy uniqueName="[India_Staff].[Age]" caption="Age" attribute="1" defaultMemberUniqueName="[India_Staff].[Age].[All]" allUniqueName="[India_Staff].[Age].[All]" dimensionUniqueName="[India_Staff]" displayFolder="" count="0" memberValueDatatype="20" unbalanced="0"/>
    <cacheHierarchy uniqueName="[India_Staff].[Rating]" caption="Rating" attribute="1" defaultMemberUniqueName="[India_Staff].[Rating].[All]" allUniqueName="[India_Staff].[Rating].[All]" dimensionUniqueName="[India_Staff]" displayFolder="" count="2" memberValueDatatype="130" unbalanced="0">
      <fieldsUsage count="2">
        <fieldUsage x="-1"/>
        <fieldUsage x="0"/>
      </fieldsUsage>
    </cacheHierarchy>
    <cacheHierarchy uniqueName="[India_Staff].[Date Joined]" caption="Date Joined" attribute="1" time="1" defaultMemberUniqueName="[India_Staff].[Date Joined].[All]" allUniqueName="[India_Staff].[Date Joined].[All]" dimensionUniqueName="[India_Staff]" displayFolder="" count="0" memberValueDatatype="7" unbalanced="0"/>
    <cacheHierarchy uniqueName="[India_Staff].[Department]" caption="Department" attribute="1" defaultMemberUniqueName="[India_Staff].[Department].[All]" allUniqueName="[India_Staff].[Department].[All]" dimensionUniqueName="[India_Staff]" displayFolder="" count="0" memberValueDatatype="130" unbalanced="0"/>
    <cacheHierarchy uniqueName="[India_Staff].[Salary]" caption="Salary" attribute="1" defaultMemberUniqueName="[India_Staff].[Salary].[All]" allUniqueName="[India_Staff].[Salary].[All]" dimensionUniqueName="[India_Staff]" displayFolder="" count="0" memberValueDatatype="20" unbalanced="0"/>
    <cacheHierarchy uniqueName="[India_Staff].[Date Joined (Year)]" caption="Date Joined (Year)" attribute="1" defaultMemberUniqueName="[India_Staff].[Date Joined (Year)].[All]" allUniqueName="[India_Staff].[Date Joined (Year)].[All]" dimensionUniqueName="[India_Staff]" displayFolder="" count="0" memberValueDatatype="130" unbalanced="0"/>
    <cacheHierarchy uniqueName="[India_Staff].[Date Joined (Quarter)]" caption="Date Joined (Quarter)" attribute="1" defaultMemberUniqueName="[India_Staff].[Date Joined (Quarter)].[All]" allUniqueName="[India_Staff].[Date Joined (Quarter)].[All]" dimensionUniqueName="[India_Staff]" displayFolder="" count="0" memberValueDatatype="130" unbalanced="0"/>
    <cacheHierarchy uniqueName="[India_Staff].[Date Joined (Month)]" caption="Date Joined (Month)" attribute="1" defaultMemberUniqueName="[India_Staff].[Date Joined (Month)].[All]" allUniqueName="[India_Staff].[Date Joined (Month)].[All]" dimensionUniqueName="[India_Staff]" displayFolder="" count="0" memberValueDatatype="130" unbalanced="0"/>
    <cacheHierarchy uniqueName="[India_Staff].[Date Joined (Month Index)]" caption="Date Joined (Month Index)" attribute="1" defaultMemberUniqueName="[India_Staff].[Date Joined (Month Index)].[All]" allUniqueName="[India_Staff].[Date Joined (Month Index)].[All]" dimensionUniqueName="[India_Staff]" displayFolder="" count="0" memberValueDatatype="20" unbalanced="0" hidden="1"/>
    <cacheHierarchy uniqueName="[Measures].[__XL_Count All_Staff]" caption="__XL_Count All_Staff" measure="1" displayFolder="" measureGroup="All_Staff" count="0" hidden="1"/>
    <cacheHierarchy uniqueName="[Measures].[__XL_Count India_Staff]" caption="__XL_Count India_Staff" measure="1" displayFolder="" measureGroup="India_Staff" count="0" hidden="1"/>
    <cacheHierarchy uniqueName="[Measures].[__No measures defined]" caption="__No measures defined" measure="1" displayFolder="" count="0" hidden="1"/>
    <cacheHierarchy uniqueName="[Measures].[Sum of Age]" caption="Sum of Age" measure="1" displayFolder="" measureGroup="All_Staff" count="0" hidden="1">
      <extLst>
        <ext xmlns:x15="http://schemas.microsoft.com/office/spreadsheetml/2010/11/main" uri="{B97F6D7D-B522-45F9-BDA1-12C45D357490}">
          <x15:cacheHierarchy aggregatedColumn="2"/>
        </ext>
      </extLst>
    </cacheHierarchy>
    <cacheHierarchy uniqueName="[Measures].[Sum of Salary]" caption="Sum of Salary" measure="1" displayFolder="" measureGroup="All_Staff" count="0" hidden="1">
      <extLst>
        <ext xmlns:x15="http://schemas.microsoft.com/office/spreadsheetml/2010/11/main" uri="{B97F6D7D-B522-45F9-BDA1-12C45D357490}">
          <x15:cacheHierarchy aggregatedColumn="6"/>
        </ext>
      </extLst>
    </cacheHierarchy>
    <cacheHierarchy uniqueName="[Measures].[Average of Age]" caption="Average of Age" measure="1" displayFolder="" measureGroup="All_Staff" count="0" hidden="1">
      <extLst>
        <ext xmlns:x15="http://schemas.microsoft.com/office/spreadsheetml/2010/11/main" uri="{B97F6D7D-B522-45F9-BDA1-12C45D357490}">
          <x15:cacheHierarchy aggregatedColumn="2"/>
        </ext>
      </extLst>
    </cacheHierarchy>
    <cacheHierarchy uniqueName="[Measures].[Count of Name]" caption="Count of Name" measure="1" displayFolder="" measureGroup="All_Staff" count="0" hidden="1">
      <extLst>
        <ext xmlns:x15="http://schemas.microsoft.com/office/spreadsheetml/2010/11/main" uri="{B97F6D7D-B522-45F9-BDA1-12C45D357490}">
          <x15:cacheHierarchy aggregatedColumn="0"/>
        </ext>
      </extLst>
    </cacheHierarchy>
    <cacheHierarchy uniqueName="[Measures].[Sum of Tenure]" caption="Sum of Tenure" measure="1" displayFolder="" measureGroup="All_Staff" count="0" hidden="1">
      <extLst>
        <ext xmlns:x15="http://schemas.microsoft.com/office/spreadsheetml/2010/11/main" uri="{B97F6D7D-B522-45F9-BDA1-12C45D357490}">
          <x15:cacheHierarchy aggregatedColumn="8"/>
        </ext>
      </extLst>
    </cacheHierarchy>
    <cacheHierarchy uniqueName="[Measures].[Average of Tenure]" caption="Average of Tenure" measure="1" displayFolder="" measureGroup="All_Staff" count="0" hidden="1">
      <extLst>
        <ext xmlns:x15="http://schemas.microsoft.com/office/spreadsheetml/2010/11/main" uri="{B97F6D7D-B522-45F9-BDA1-12C45D357490}">
          <x15:cacheHierarchy aggregatedColumn="8"/>
        </ext>
      </extLst>
    </cacheHierarchy>
    <cacheHierarchy uniqueName="[Measures].[Count of Name 2]" caption="Count of Name 2" measure="1" displayFolder="" measureGroup="India_Staff"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Salary 2]" caption="Sum of Salary 2" measure="1" displayFolder="" measureGroup="India_Staff" count="0" hidden="1">
      <extLst>
        <ext xmlns:x15="http://schemas.microsoft.com/office/spreadsheetml/2010/11/main" uri="{B97F6D7D-B522-45F9-BDA1-12C45D357490}">
          <x15:cacheHierarchy aggregatedColumn="15"/>
        </ext>
      </extLst>
    </cacheHierarchy>
    <cacheHierarchy uniqueName="[Measures].[Average of Salary]" caption="Average of Salary" measure="1" displayFolder="" measureGroup="India_Staff" count="0" oneField="1" hidden="1">
      <fieldsUsage count="1">
        <fieldUsage x="2"/>
      </fieldsUsage>
      <extLst>
        <ext xmlns:x15="http://schemas.microsoft.com/office/spreadsheetml/2010/11/main" uri="{B97F6D7D-B522-45F9-BDA1-12C45D357490}">
          <x15:cacheHierarchy aggregatedColumn="15"/>
        </ext>
      </extLst>
    </cacheHierarchy>
  </cacheHierarchies>
  <kpis count="0"/>
  <dimensions count="3">
    <dimension name="All_Staff" uniqueName="[All_Staff]" caption="All_Staff"/>
    <dimension name="India_Staff" uniqueName="[India_Staff]" caption="India_Staff"/>
    <dimension measure="1" name="Measures" uniqueName="[Measures]" caption="Measures"/>
  </dimensions>
  <measureGroups count="2">
    <measureGroup name="All_Staff" caption="All_Staff"/>
    <measureGroup name="India_Staff" caption="India_Staff"/>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gabata Brahma" refreshedDate="46037.792949884257" backgroundQuery="1" createdVersion="8" refreshedVersion="8" minRefreshableVersion="3" recordCount="0" supportSubquery="1" supportAdvancedDrill="1" xr:uid="{DFAFEC13-6543-4D61-B588-B56252B80EF3}">
  <cacheSource type="external" connectionId="4"/>
  <cacheFields count="3">
    <cacheField name="[Measures].[Count of Name 2]" caption="Count of Name 2" numFmtId="0" hierarchy="29" level="32767"/>
    <cacheField name="[India_Staff].[Date Joined (Month)].[Date Joined (Month)]" caption="Date Joined (Month)" numFmtId="0" hierarchy="18" level="1">
      <sharedItems count="8">
        <s v="May"/>
        <s v="Jun"/>
        <s v="Jul"/>
        <s v="Aug"/>
        <s v="Sep"/>
        <s v="Oct"/>
        <s v="Nov"/>
        <s v="Dec"/>
      </sharedItems>
    </cacheField>
    <cacheField name="[India_Staff].[Date Joined (Year)].[Date Joined (Year)]" caption="Date Joined (Year)" numFmtId="0" hierarchy="16" level="1">
      <sharedItems count="4">
        <s v="2020"/>
        <s v="2021"/>
        <s v="2022"/>
        <s v="2023"/>
      </sharedItems>
    </cacheField>
  </cacheFields>
  <cacheHierarchies count="32">
    <cacheHierarchy uniqueName="[All_Staff].[Name]" caption="Name" attribute="1" defaultMemberUniqueName="[All_Staff].[Name].[All]" allUniqueName="[All_Staff].[Name].[All]" dimensionUniqueName="[All_Staff]" displayFolder="" count="0" memberValueDatatype="130" unbalanced="0"/>
    <cacheHierarchy uniqueName="[All_Staff].[Gender]" caption="Gender" attribute="1" defaultMemberUniqueName="[All_Staff].[Gender].[All]" allUniqueName="[All_Staff].[Gender].[All]" dimensionUniqueName="[All_Staff]" displayFolder="" count="0" memberValueDatatype="130" unbalanced="0"/>
    <cacheHierarchy uniqueName="[All_Staff].[Age]" caption="Age" attribute="1" defaultMemberUniqueName="[All_Staff].[Age].[All]" allUniqueName="[All_Staff].[Age].[All]" dimensionUniqueName="[All_Staff]" displayFolder="" count="0" memberValueDatatype="20" unbalanced="0"/>
    <cacheHierarchy uniqueName="[All_Staff].[Rating]" caption="Rating" attribute="1" defaultMemberUniqueName="[All_Staff].[Rating].[All]" allUniqueName="[All_Staff].[Rating].[All]" dimensionUniqueName="[All_Staff]" displayFolder="" count="0" memberValueDatatype="130" unbalanced="0"/>
    <cacheHierarchy uniqueName="[All_Staff].[Date Joined]" caption="Date Joined" attribute="1" time="1" defaultMemberUniqueName="[All_Staff].[Date Joined].[All]" allUniqueName="[All_Staff].[Date Joined].[All]" dimensionUniqueName="[All_Staff]" displayFolder="" count="0" memberValueDatatype="7" unbalanced="0"/>
    <cacheHierarchy uniqueName="[All_Staff].[Department]" caption="Department" attribute="1" defaultMemberUniqueName="[All_Staff].[Department].[All]" allUniqueName="[All_Staff].[Department].[All]" dimensionUniqueName="[All_Staff]" displayFolder="" count="0" memberValueDatatype="130" unbalanced="0"/>
    <cacheHierarchy uniqueName="[All_Staff].[Salary]" caption="Salary" attribute="1" defaultMemberUniqueName="[All_Staff].[Salary].[All]" allUniqueName="[All_Staff].[Salary].[All]" dimensionUniqueName="[All_Staff]" displayFolder="" count="0" memberValueDatatype="20" unbalanced="0"/>
    <cacheHierarchy uniqueName="[All_Staff].[Country]" caption="Country" attribute="1" defaultMemberUniqueName="[All_Staff].[Country].[All]" allUniqueName="[All_Staff].[Country].[All]" dimensionUniqueName="[All_Staff]" displayFolder="" count="0" memberValueDatatype="130" unbalanced="0"/>
    <cacheHierarchy uniqueName="[All_Staff].[Tenure]" caption="Tenure" attribute="1" defaultMemberUniqueName="[All_Staff].[Tenure].[All]" allUniqueName="[All_Staff].[Tenure].[All]" dimensionUniqueName="[All_Staff]" displayFolder="" count="0" memberValueDatatype="5" unbalanced="0"/>
    <cacheHierarchy uniqueName="[India_Staff].[Name]" caption="Name" attribute="1" defaultMemberUniqueName="[India_Staff].[Name].[All]" allUniqueName="[India_Staff].[Name].[All]" dimensionUniqueName="[India_Staff]" displayFolder="" count="0" memberValueDatatype="130" unbalanced="0"/>
    <cacheHierarchy uniqueName="[India_Staff].[Gender]" caption="Gender" attribute="1" defaultMemberUniqueName="[India_Staff].[Gender].[All]" allUniqueName="[India_Staff].[Gender].[All]" dimensionUniqueName="[India_Staff]" displayFolder="" count="0" memberValueDatatype="130" unbalanced="0"/>
    <cacheHierarchy uniqueName="[India_Staff].[Age]" caption="Age" attribute="1" defaultMemberUniqueName="[India_Staff].[Age].[All]" allUniqueName="[India_Staff].[Age].[All]" dimensionUniqueName="[India_Staff]" displayFolder="" count="0" memberValueDatatype="20" unbalanced="0"/>
    <cacheHierarchy uniqueName="[India_Staff].[Rating]" caption="Rating" attribute="1" defaultMemberUniqueName="[India_Staff].[Rating].[All]" allUniqueName="[India_Staff].[Rating].[All]" dimensionUniqueName="[India_Staff]" displayFolder="" count="0" memberValueDatatype="130" unbalanced="0"/>
    <cacheHierarchy uniqueName="[India_Staff].[Date Joined]" caption="Date Joined" attribute="1" time="1" defaultMemberUniqueName="[India_Staff].[Date Joined].[All]" allUniqueName="[India_Staff].[Date Joined].[All]" dimensionUniqueName="[India_Staff]" displayFolder="" count="2" memberValueDatatype="7" unbalanced="0"/>
    <cacheHierarchy uniqueName="[India_Staff].[Department]" caption="Department" attribute="1" defaultMemberUniqueName="[India_Staff].[Department].[All]" allUniqueName="[India_Staff].[Department].[All]" dimensionUniqueName="[India_Staff]" displayFolder="" count="0" memberValueDatatype="130" unbalanced="0"/>
    <cacheHierarchy uniqueName="[India_Staff].[Salary]" caption="Salary" attribute="1" defaultMemberUniqueName="[India_Staff].[Salary].[All]" allUniqueName="[India_Staff].[Salary].[All]" dimensionUniqueName="[India_Staff]" displayFolder="" count="0" memberValueDatatype="20" unbalanced="0"/>
    <cacheHierarchy uniqueName="[India_Staff].[Date Joined (Year)]" caption="Date Joined (Year)" attribute="1" defaultMemberUniqueName="[India_Staff].[Date Joined (Year)].[All]" allUniqueName="[India_Staff].[Date Joined (Year)].[All]" dimensionUniqueName="[India_Staff]" displayFolder="" count="2" memberValueDatatype="130" unbalanced="0">
      <fieldsUsage count="2">
        <fieldUsage x="-1"/>
        <fieldUsage x="2"/>
      </fieldsUsage>
    </cacheHierarchy>
    <cacheHierarchy uniqueName="[India_Staff].[Date Joined (Quarter)]" caption="Date Joined (Quarter)" attribute="1" defaultMemberUniqueName="[India_Staff].[Date Joined (Quarter)].[All]" allUniqueName="[India_Staff].[Date Joined (Quarter)].[All]" dimensionUniqueName="[India_Staff]" displayFolder="" count="2" memberValueDatatype="130" unbalanced="0"/>
    <cacheHierarchy uniqueName="[India_Staff].[Date Joined (Month)]" caption="Date Joined (Month)" attribute="1" defaultMemberUniqueName="[India_Staff].[Date Joined (Month)].[All]" allUniqueName="[India_Staff].[Date Joined (Month)].[All]" dimensionUniqueName="[India_Staff]" displayFolder="" count="2" memberValueDatatype="130" unbalanced="0">
      <fieldsUsage count="2">
        <fieldUsage x="-1"/>
        <fieldUsage x="1"/>
      </fieldsUsage>
    </cacheHierarchy>
    <cacheHierarchy uniqueName="[India_Staff].[Date Joined (Month Index)]" caption="Date Joined (Month Index)" attribute="1" defaultMemberUniqueName="[India_Staff].[Date Joined (Month Index)].[All]" allUniqueName="[India_Staff].[Date Joined (Month Index)].[All]" dimensionUniqueName="[India_Staff]" displayFolder="" count="0" memberValueDatatype="20" unbalanced="0" hidden="1"/>
    <cacheHierarchy uniqueName="[Measures].[__XL_Count All_Staff]" caption="__XL_Count All_Staff" measure="1" displayFolder="" measureGroup="All_Staff" count="0" hidden="1"/>
    <cacheHierarchy uniqueName="[Measures].[__XL_Count India_Staff]" caption="__XL_Count India_Staff" measure="1" displayFolder="" measureGroup="India_Staff" count="0" hidden="1"/>
    <cacheHierarchy uniqueName="[Measures].[__No measures defined]" caption="__No measures defined" measure="1" displayFolder="" count="0" hidden="1"/>
    <cacheHierarchy uniqueName="[Measures].[Sum of Age]" caption="Sum of Age" measure="1" displayFolder="" measureGroup="All_Staff" count="0" hidden="1">
      <extLst>
        <ext xmlns:x15="http://schemas.microsoft.com/office/spreadsheetml/2010/11/main" uri="{B97F6D7D-B522-45F9-BDA1-12C45D357490}">
          <x15:cacheHierarchy aggregatedColumn="2"/>
        </ext>
      </extLst>
    </cacheHierarchy>
    <cacheHierarchy uniqueName="[Measures].[Sum of Salary]" caption="Sum of Salary" measure="1" displayFolder="" measureGroup="All_Staff" count="0" hidden="1">
      <extLst>
        <ext xmlns:x15="http://schemas.microsoft.com/office/spreadsheetml/2010/11/main" uri="{B97F6D7D-B522-45F9-BDA1-12C45D357490}">
          <x15:cacheHierarchy aggregatedColumn="6"/>
        </ext>
      </extLst>
    </cacheHierarchy>
    <cacheHierarchy uniqueName="[Measures].[Average of Age]" caption="Average of Age" measure="1" displayFolder="" measureGroup="All_Staff" count="0" hidden="1">
      <extLst>
        <ext xmlns:x15="http://schemas.microsoft.com/office/spreadsheetml/2010/11/main" uri="{B97F6D7D-B522-45F9-BDA1-12C45D357490}">
          <x15:cacheHierarchy aggregatedColumn="2"/>
        </ext>
      </extLst>
    </cacheHierarchy>
    <cacheHierarchy uniqueName="[Measures].[Count of Name]" caption="Count of Name" measure="1" displayFolder="" measureGroup="All_Staff" count="0" hidden="1">
      <extLst>
        <ext xmlns:x15="http://schemas.microsoft.com/office/spreadsheetml/2010/11/main" uri="{B97F6D7D-B522-45F9-BDA1-12C45D357490}">
          <x15:cacheHierarchy aggregatedColumn="0"/>
        </ext>
      </extLst>
    </cacheHierarchy>
    <cacheHierarchy uniqueName="[Measures].[Sum of Tenure]" caption="Sum of Tenure" measure="1" displayFolder="" measureGroup="All_Staff" count="0" hidden="1">
      <extLst>
        <ext xmlns:x15="http://schemas.microsoft.com/office/spreadsheetml/2010/11/main" uri="{B97F6D7D-B522-45F9-BDA1-12C45D357490}">
          <x15:cacheHierarchy aggregatedColumn="8"/>
        </ext>
      </extLst>
    </cacheHierarchy>
    <cacheHierarchy uniqueName="[Measures].[Average of Tenure]" caption="Average of Tenure" measure="1" displayFolder="" measureGroup="All_Staff" count="0" hidden="1">
      <extLst>
        <ext xmlns:x15="http://schemas.microsoft.com/office/spreadsheetml/2010/11/main" uri="{B97F6D7D-B522-45F9-BDA1-12C45D357490}">
          <x15:cacheHierarchy aggregatedColumn="8"/>
        </ext>
      </extLst>
    </cacheHierarchy>
    <cacheHierarchy uniqueName="[Measures].[Count of Name 2]" caption="Count of Name 2" measure="1" displayFolder="" measureGroup="India_Staff"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Salary 2]" caption="Sum of Salary 2" measure="1" displayFolder="" measureGroup="India_Staff" count="0" hidden="1">
      <extLst>
        <ext xmlns:x15="http://schemas.microsoft.com/office/spreadsheetml/2010/11/main" uri="{B97F6D7D-B522-45F9-BDA1-12C45D357490}">
          <x15:cacheHierarchy aggregatedColumn="15"/>
        </ext>
      </extLst>
    </cacheHierarchy>
    <cacheHierarchy uniqueName="[Measures].[Average of Salary]" caption="Average of Salary" measure="1" displayFolder="" measureGroup="India_Staff" count="0" hidden="1">
      <extLst>
        <ext xmlns:x15="http://schemas.microsoft.com/office/spreadsheetml/2010/11/main" uri="{B97F6D7D-B522-45F9-BDA1-12C45D357490}">
          <x15:cacheHierarchy aggregatedColumn="15"/>
        </ext>
      </extLst>
    </cacheHierarchy>
  </cacheHierarchies>
  <kpis count="0"/>
  <dimensions count="3">
    <dimension name="All_Staff" uniqueName="[All_Staff]" caption="All_Staff"/>
    <dimension name="India_Staff" uniqueName="[India_Staff]" caption="India_Staff"/>
    <dimension measure="1" name="Measures" uniqueName="[Measures]" caption="Measures"/>
  </dimensions>
  <measureGroups count="2">
    <measureGroup name="All_Staff" caption="All_Staff"/>
    <measureGroup name="India_Staff" caption="India_Staff"/>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gabata Brahma" refreshedDate="46037.815390625001" backgroundQuery="1" createdVersion="8" refreshedVersion="8" minRefreshableVersion="3" recordCount="0" supportSubquery="1" supportAdvancedDrill="1" xr:uid="{6D1962C6-F5EF-4DD3-AE92-B6D1A986519D}">
  <cacheSource type="external" connectionId="4"/>
  <cacheFields count="3">
    <cacheField name="[Measures].[Count of Name]" caption="Count of Name" numFmtId="0" hierarchy="26" level="32767"/>
    <cacheField name="[All_Staff].[Department].[Department]" caption="Department" numFmtId="0" hierarchy="5" level="1">
      <sharedItems count="5">
        <s v="Finance"/>
        <s v="HR"/>
        <s v="Procurement"/>
        <s v="Sales"/>
        <s v="Website"/>
      </sharedItems>
    </cacheField>
    <cacheField name="[All_Staff].[Country].[Country]" caption="Country" numFmtId="0" hierarchy="7" level="1">
      <sharedItems containsSemiMixedTypes="0" containsNonDate="0" containsString="0"/>
    </cacheField>
  </cacheFields>
  <cacheHierarchies count="32">
    <cacheHierarchy uniqueName="[All_Staff].[Name]" caption="Name" attribute="1" defaultMemberUniqueName="[All_Staff].[Name].[All]" allUniqueName="[All_Staff].[Name].[All]" dimensionUniqueName="[All_Staff]" displayFolder="" count="0" memberValueDatatype="130" unbalanced="0"/>
    <cacheHierarchy uniqueName="[All_Staff].[Gender]" caption="Gender" attribute="1" defaultMemberUniqueName="[All_Staff].[Gender].[All]" allUniqueName="[All_Staff].[Gender].[All]" dimensionUniqueName="[All_Staff]" displayFolder="" count="0" memberValueDatatype="130" unbalanced="0"/>
    <cacheHierarchy uniqueName="[All_Staff].[Age]" caption="Age" attribute="1" defaultMemberUniqueName="[All_Staff].[Age].[All]" allUniqueName="[All_Staff].[Age].[All]" dimensionUniqueName="[All_Staff]" displayFolder="" count="0" memberValueDatatype="20" unbalanced="0"/>
    <cacheHierarchy uniqueName="[All_Staff].[Rating]" caption="Rating" attribute="1" defaultMemberUniqueName="[All_Staff].[Rating].[All]" allUniqueName="[All_Staff].[Rating].[All]" dimensionUniqueName="[All_Staff]" displayFolder="" count="0" memberValueDatatype="130" unbalanced="0"/>
    <cacheHierarchy uniqueName="[All_Staff].[Date Joined]" caption="Date Joined" attribute="1" time="1" defaultMemberUniqueName="[All_Staff].[Date Joined].[All]" allUniqueName="[All_Staff].[Date Joined].[All]" dimensionUniqueName="[All_Staff]" displayFolder="" count="0" memberValueDatatype="7" unbalanced="0"/>
    <cacheHierarchy uniqueName="[All_Staff].[Department]" caption="Department" attribute="1" defaultMemberUniqueName="[All_Staff].[Department].[All]" allUniqueName="[All_Staff].[Department].[All]" dimensionUniqueName="[All_Staff]" displayFolder="" count="2" memberValueDatatype="130" unbalanced="0">
      <fieldsUsage count="2">
        <fieldUsage x="-1"/>
        <fieldUsage x="1"/>
      </fieldsUsage>
    </cacheHierarchy>
    <cacheHierarchy uniqueName="[All_Staff].[Salary]" caption="Salary" attribute="1" defaultMemberUniqueName="[All_Staff].[Salary].[All]" allUniqueName="[All_Staff].[Salary].[All]" dimensionUniqueName="[All_Staff]" displayFolder="" count="0" memberValueDatatype="20" unbalanced="0"/>
    <cacheHierarchy uniqueName="[All_Staff].[Country]" caption="Country" attribute="1" defaultMemberUniqueName="[All_Staff].[Country].[All]" allUniqueName="[All_Staff].[Country].[All]" dimensionUniqueName="[All_Staff]" displayFolder="" count="2" memberValueDatatype="130" unbalanced="0">
      <fieldsUsage count="2">
        <fieldUsage x="-1"/>
        <fieldUsage x="2"/>
      </fieldsUsage>
    </cacheHierarchy>
    <cacheHierarchy uniqueName="[All_Staff].[Tenure]" caption="Tenure" attribute="1" defaultMemberUniqueName="[All_Staff].[Tenure].[All]" allUniqueName="[All_Staff].[Tenure].[All]" dimensionUniqueName="[All_Staff]" displayFolder="" count="0" memberValueDatatype="5" unbalanced="0"/>
    <cacheHierarchy uniqueName="[India_Staff].[Name]" caption="Name" attribute="1" defaultMemberUniqueName="[India_Staff].[Name].[All]" allUniqueName="[India_Staff].[Name].[All]" dimensionUniqueName="[India_Staff]" displayFolder="" count="0" memberValueDatatype="130" unbalanced="0"/>
    <cacheHierarchy uniqueName="[India_Staff].[Gender]" caption="Gender" attribute="1" defaultMemberUniqueName="[India_Staff].[Gender].[All]" allUniqueName="[India_Staff].[Gender].[All]" dimensionUniqueName="[India_Staff]" displayFolder="" count="0" memberValueDatatype="130" unbalanced="0"/>
    <cacheHierarchy uniqueName="[India_Staff].[Age]" caption="Age" attribute="1" defaultMemberUniqueName="[India_Staff].[Age].[All]" allUniqueName="[India_Staff].[Age].[All]" dimensionUniqueName="[India_Staff]" displayFolder="" count="0" memberValueDatatype="20" unbalanced="0"/>
    <cacheHierarchy uniqueName="[India_Staff].[Rating]" caption="Rating" attribute="1" defaultMemberUniqueName="[India_Staff].[Rating].[All]" allUniqueName="[India_Staff].[Rating].[All]" dimensionUniqueName="[India_Staff]" displayFolder="" count="0" memberValueDatatype="130" unbalanced="0"/>
    <cacheHierarchy uniqueName="[India_Staff].[Date Joined]" caption="Date Joined" attribute="1" time="1" defaultMemberUniqueName="[India_Staff].[Date Joined].[All]" allUniqueName="[India_Staff].[Date Joined].[All]" dimensionUniqueName="[India_Staff]" displayFolder="" count="0" memberValueDatatype="7" unbalanced="0"/>
    <cacheHierarchy uniqueName="[India_Staff].[Department]" caption="Department" attribute="1" defaultMemberUniqueName="[India_Staff].[Department].[All]" allUniqueName="[India_Staff].[Department].[All]" dimensionUniqueName="[India_Staff]" displayFolder="" count="2" memberValueDatatype="130" unbalanced="0"/>
    <cacheHierarchy uniqueName="[India_Staff].[Salary]" caption="Salary" attribute="1" defaultMemberUniqueName="[India_Staff].[Salary].[All]" allUniqueName="[India_Staff].[Salary].[All]" dimensionUniqueName="[India_Staff]" displayFolder="" count="0" memberValueDatatype="20" unbalanced="0"/>
    <cacheHierarchy uniqueName="[India_Staff].[Date Joined (Year)]" caption="Date Joined (Year)" attribute="1" defaultMemberUniqueName="[India_Staff].[Date Joined (Year)].[All]" allUniqueName="[India_Staff].[Date Joined (Year)].[All]" dimensionUniqueName="[India_Staff]" displayFolder="" count="0" memberValueDatatype="130" unbalanced="0"/>
    <cacheHierarchy uniqueName="[India_Staff].[Date Joined (Quarter)]" caption="Date Joined (Quarter)" attribute="1" defaultMemberUniqueName="[India_Staff].[Date Joined (Quarter)].[All]" allUniqueName="[India_Staff].[Date Joined (Quarter)].[All]" dimensionUniqueName="[India_Staff]" displayFolder="" count="0" memberValueDatatype="130" unbalanced="0"/>
    <cacheHierarchy uniqueName="[India_Staff].[Date Joined (Month)]" caption="Date Joined (Month)" attribute="1" defaultMemberUniqueName="[India_Staff].[Date Joined (Month)].[All]" allUniqueName="[India_Staff].[Date Joined (Month)].[All]" dimensionUniqueName="[India_Staff]" displayFolder="" count="0" memberValueDatatype="130" unbalanced="0"/>
    <cacheHierarchy uniqueName="[India_Staff].[Date Joined (Month Index)]" caption="Date Joined (Month Index)" attribute="1" defaultMemberUniqueName="[India_Staff].[Date Joined (Month Index)].[All]" allUniqueName="[India_Staff].[Date Joined (Month Index)].[All]" dimensionUniqueName="[India_Staff]" displayFolder="" count="0" memberValueDatatype="20" unbalanced="0" hidden="1"/>
    <cacheHierarchy uniqueName="[Measures].[__XL_Count All_Staff]" caption="__XL_Count All_Staff" measure="1" displayFolder="" measureGroup="All_Staff" count="0" hidden="1"/>
    <cacheHierarchy uniqueName="[Measures].[__XL_Count India_Staff]" caption="__XL_Count India_Staff" measure="1" displayFolder="" measureGroup="India_Staff" count="0" hidden="1"/>
    <cacheHierarchy uniqueName="[Measures].[__No measures defined]" caption="__No measures defined" measure="1" displayFolder="" count="0" hidden="1"/>
    <cacheHierarchy uniqueName="[Measures].[Sum of Age]" caption="Sum of Age" measure="1" displayFolder="" measureGroup="All_Staff" count="0" hidden="1">
      <extLst>
        <ext xmlns:x15="http://schemas.microsoft.com/office/spreadsheetml/2010/11/main" uri="{B97F6D7D-B522-45F9-BDA1-12C45D357490}">
          <x15:cacheHierarchy aggregatedColumn="2"/>
        </ext>
      </extLst>
    </cacheHierarchy>
    <cacheHierarchy uniqueName="[Measures].[Sum of Salary]" caption="Sum of Salary" measure="1" displayFolder="" measureGroup="All_Staff" count="0" hidden="1">
      <extLst>
        <ext xmlns:x15="http://schemas.microsoft.com/office/spreadsheetml/2010/11/main" uri="{B97F6D7D-B522-45F9-BDA1-12C45D357490}">
          <x15:cacheHierarchy aggregatedColumn="6"/>
        </ext>
      </extLst>
    </cacheHierarchy>
    <cacheHierarchy uniqueName="[Measures].[Average of Age]" caption="Average of Age" measure="1" displayFolder="" measureGroup="All_Staff" count="0" hidden="1">
      <extLst>
        <ext xmlns:x15="http://schemas.microsoft.com/office/spreadsheetml/2010/11/main" uri="{B97F6D7D-B522-45F9-BDA1-12C45D357490}">
          <x15:cacheHierarchy aggregatedColumn="2"/>
        </ext>
      </extLst>
    </cacheHierarchy>
    <cacheHierarchy uniqueName="[Measures].[Count of Name]" caption="Count of Name" measure="1" displayFolder="" measureGroup="All_Staff"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Tenure]" caption="Sum of Tenure" measure="1" displayFolder="" measureGroup="All_Staff" count="0" hidden="1">
      <extLst>
        <ext xmlns:x15="http://schemas.microsoft.com/office/spreadsheetml/2010/11/main" uri="{B97F6D7D-B522-45F9-BDA1-12C45D357490}">
          <x15:cacheHierarchy aggregatedColumn="8"/>
        </ext>
      </extLst>
    </cacheHierarchy>
    <cacheHierarchy uniqueName="[Measures].[Average of Tenure]" caption="Average of Tenure" measure="1" displayFolder="" measureGroup="All_Staff" count="0" hidden="1">
      <extLst>
        <ext xmlns:x15="http://schemas.microsoft.com/office/spreadsheetml/2010/11/main" uri="{B97F6D7D-B522-45F9-BDA1-12C45D357490}">
          <x15:cacheHierarchy aggregatedColumn="8"/>
        </ext>
      </extLst>
    </cacheHierarchy>
    <cacheHierarchy uniqueName="[Measures].[Count of Name 2]" caption="Count of Name 2" measure="1" displayFolder="" measureGroup="India_Staff" count="0" hidden="1">
      <extLst>
        <ext xmlns:x15="http://schemas.microsoft.com/office/spreadsheetml/2010/11/main" uri="{B97F6D7D-B522-45F9-BDA1-12C45D357490}">
          <x15:cacheHierarchy aggregatedColumn="9"/>
        </ext>
      </extLst>
    </cacheHierarchy>
    <cacheHierarchy uniqueName="[Measures].[Sum of Salary 2]" caption="Sum of Salary 2" measure="1" displayFolder="" measureGroup="India_Staff" count="0" hidden="1">
      <extLst>
        <ext xmlns:x15="http://schemas.microsoft.com/office/spreadsheetml/2010/11/main" uri="{B97F6D7D-B522-45F9-BDA1-12C45D357490}">
          <x15:cacheHierarchy aggregatedColumn="15"/>
        </ext>
      </extLst>
    </cacheHierarchy>
    <cacheHierarchy uniqueName="[Measures].[Average of Salary]" caption="Average of Salary" measure="1" displayFolder="" measureGroup="India_Staff" count="0" hidden="1">
      <extLst>
        <ext xmlns:x15="http://schemas.microsoft.com/office/spreadsheetml/2010/11/main" uri="{B97F6D7D-B522-45F9-BDA1-12C45D357490}">
          <x15:cacheHierarchy aggregatedColumn="15"/>
        </ext>
      </extLst>
    </cacheHierarchy>
  </cacheHierarchies>
  <kpis count="0"/>
  <dimensions count="3">
    <dimension name="All_Staff" uniqueName="[All_Staff]" caption="All_Staff"/>
    <dimension name="India_Staff" uniqueName="[India_Staff]" caption="India_Staff"/>
    <dimension measure="1" name="Measures" uniqueName="[Measures]" caption="Measures"/>
  </dimensions>
  <measureGroups count="2">
    <measureGroup name="All_Staff" caption="All_Staff"/>
    <measureGroup name="India_Staff" caption="India_Staff"/>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gabata Brahma" refreshedDate="46037.834406018519" backgroundQuery="1" createdVersion="8" refreshedVersion="8" minRefreshableVersion="3" recordCount="0" supportSubquery="1" supportAdvancedDrill="1" xr:uid="{89414527-2791-443E-8054-5C961C0AF03C}">
  <cacheSource type="external" connectionId="4"/>
  <cacheFields count="3">
    <cacheField name="[Measures].[Count of Name]" caption="Count of Name" numFmtId="0" hierarchy="26" level="32767"/>
    <cacheField name="[All_Staff].[Department].[Department]" caption="Department" numFmtId="0" hierarchy="5" level="1">
      <sharedItems count="5">
        <s v="Finance"/>
        <s v="HR"/>
        <s v="Procurement"/>
        <s v="Sales"/>
        <s v="Website"/>
      </sharedItems>
    </cacheField>
    <cacheField name="[All_Staff].[Country].[Country]" caption="Country" numFmtId="0" hierarchy="7" level="1">
      <sharedItems containsSemiMixedTypes="0" containsNonDate="0" containsString="0"/>
    </cacheField>
  </cacheFields>
  <cacheHierarchies count="32">
    <cacheHierarchy uniqueName="[All_Staff].[Name]" caption="Name" attribute="1" defaultMemberUniqueName="[All_Staff].[Name].[All]" allUniqueName="[All_Staff].[Name].[All]" dimensionUniqueName="[All_Staff]" displayFolder="" count="2" memberValueDatatype="130" unbalanced="0"/>
    <cacheHierarchy uniqueName="[All_Staff].[Gender]" caption="Gender" attribute="1" defaultMemberUniqueName="[All_Staff].[Gender].[All]" allUniqueName="[All_Staff].[Gender].[All]" dimensionUniqueName="[All_Staff]" displayFolder="" count="2" memberValueDatatype="130" unbalanced="0"/>
    <cacheHierarchy uniqueName="[All_Staff].[Age]" caption="Age" attribute="1" defaultMemberUniqueName="[All_Staff].[Age].[All]" allUniqueName="[All_Staff].[Age].[All]" dimensionUniqueName="[All_Staff]" displayFolder="" count="2" memberValueDatatype="20" unbalanced="0"/>
    <cacheHierarchy uniqueName="[All_Staff].[Rating]" caption="Rating" attribute="1" defaultMemberUniqueName="[All_Staff].[Rating].[All]" allUniqueName="[All_Staff].[Rating].[All]" dimensionUniqueName="[All_Staff]" displayFolder="" count="2" memberValueDatatype="130" unbalanced="0"/>
    <cacheHierarchy uniqueName="[All_Staff].[Date Joined]" caption="Date Joined" attribute="1" time="1" defaultMemberUniqueName="[All_Staff].[Date Joined].[All]" allUniqueName="[All_Staff].[Date Joined].[All]" dimensionUniqueName="[All_Staff]" displayFolder="" count="2" memberValueDatatype="7" unbalanced="0"/>
    <cacheHierarchy uniqueName="[All_Staff].[Department]" caption="Department" attribute="1" defaultMemberUniqueName="[All_Staff].[Department].[All]" allUniqueName="[All_Staff].[Department].[All]" dimensionUniqueName="[All_Staff]" displayFolder="" count="2" memberValueDatatype="130" unbalanced="0">
      <fieldsUsage count="2">
        <fieldUsage x="-1"/>
        <fieldUsage x="1"/>
      </fieldsUsage>
    </cacheHierarchy>
    <cacheHierarchy uniqueName="[All_Staff].[Salary]" caption="Salary" attribute="1" defaultMemberUniqueName="[All_Staff].[Salary].[All]" allUniqueName="[All_Staff].[Salary].[All]" dimensionUniqueName="[All_Staff]" displayFolder="" count="2" memberValueDatatype="20" unbalanced="0"/>
    <cacheHierarchy uniqueName="[All_Staff].[Country]" caption="Country" attribute="1" defaultMemberUniqueName="[All_Staff].[Country].[All]" allUniqueName="[All_Staff].[Country].[All]" dimensionUniqueName="[All_Staff]" displayFolder="" count="2" memberValueDatatype="130" unbalanced="0">
      <fieldsUsage count="2">
        <fieldUsage x="-1"/>
        <fieldUsage x="2"/>
      </fieldsUsage>
    </cacheHierarchy>
    <cacheHierarchy uniqueName="[All_Staff].[Tenure]" caption="Tenure" attribute="1" defaultMemberUniqueName="[All_Staff].[Tenure].[All]" allUniqueName="[All_Staff].[Tenure].[All]" dimensionUniqueName="[All_Staff]" displayFolder="" count="2" memberValueDatatype="5" unbalanced="0"/>
    <cacheHierarchy uniqueName="[India_Staff].[Name]" caption="Name" attribute="1" defaultMemberUniqueName="[India_Staff].[Name].[All]" allUniqueName="[India_Staff].[Name].[All]" dimensionUniqueName="[India_Staff]" displayFolder="" count="2" memberValueDatatype="130" unbalanced="0"/>
    <cacheHierarchy uniqueName="[India_Staff].[Gender]" caption="Gender" attribute="1" defaultMemberUniqueName="[India_Staff].[Gender].[All]" allUniqueName="[India_Staff].[Gender].[All]" dimensionUniqueName="[India_Staff]" displayFolder="" count="2" memberValueDatatype="130" unbalanced="0"/>
    <cacheHierarchy uniqueName="[India_Staff].[Age]" caption="Age" attribute="1" defaultMemberUniqueName="[India_Staff].[Age].[All]" allUniqueName="[India_Staff].[Age].[All]" dimensionUniqueName="[India_Staff]" displayFolder="" count="2" memberValueDatatype="20" unbalanced="0"/>
    <cacheHierarchy uniqueName="[India_Staff].[Rating]" caption="Rating" attribute="1" defaultMemberUniqueName="[India_Staff].[Rating].[All]" allUniqueName="[India_Staff].[Rating].[All]" dimensionUniqueName="[India_Staff]" displayFolder="" count="2" memberValueDatatype="130" unbalanced="0"/>
    <cacheHierarchy uniqueName="[India_Staff].[Date Joined]" caption="Date Joined" attribute="1" time="1" defaultMemberUniqueName="[India_Staff].[Date Joined].[All]" allUniqueName="[India_Staff].[Date Joined].[All]" dimensionUniqueName="[India_Staff]" displayFolder="" count="2" memberValueDatatype="7" unbalanced="0"/>
    <cacheHierarchy uniqueName="[India_Staff].[Department]" caption="Department" attribute="1" defaultMemberUniqueName="[India_Staff].[Department].[All]" allUniqueName="[India_Staff].[Department].[All]" dimensionUniqueName="[India_Staff]" displayFolder="" count="2" memberValueDatatype="130" unbalanced="0"/>
    <cacheHierarchy uniqueName="[India_Staff].[Salary]" caption="Salary" attribute="1" defaultMemberUniqueName="[India_Staff].[Salary].[All]" allUniqueName="[India_Staff].[Salary].[All]" dimensionUniqueName="[India_Staff]" displayFolder="" count="2" memberValueDatatype="20" unbalanced="0"/>
    <cacheHierarchy uniqueName="[India_Staff].[Date Joined (Year)]" caption="Date Joined (Year)" attribute="1" defaultMemberUniqueName="[India_Staff].[Date Joined (Year)].[All]" allUniqueName="[India_Staff].[Date Joined (Year)].[All]" dimensionUniqueName="[India_Staff]" displayFolder="" count="2" memberValueDatatype="130" unbalanced="0"/>
    <cacheHierarchy uniqueName="[India_Staff].[Date Joined (Quarter)]" caption="Date Joined (Quarter)" attribute="1" defaultMemberUniqueName="[India_Staff].[Date Joined (Quarter)].[All]" allUniqueName="[India_Staff].[Date Joined (Quarter)].[All]" dimensionUniqueName="[India_Staff]" displayFolder="" count="2" memberValueDatatype="130" unbalanced="0"/>
    <cacheHierarchy uniqueName="[India_Staff].[Date Joined (Month)]" caption="Date Joined (Month)" attribute="1" defaultMemberUniqueName="[India_Staff].[Date Joined (Month)].[All]" allUniqueName="[India_Staff].[Date Joined (Month)].[All]" dimensionUniqueName="[India_Staff]" displayFolder="" count="2" memberValueDatatype="130" unbalanced="0"/>
    <cacheHierarchy uniqueName="[India_Staff].[Date Joined (Month Index)]" caption="Date Joined (Month Index)" attribute="1" defaultMemberUniqueName="[India_Staff].[Date Joined (Month Index)].[All]" allUniqueName="[India_Staff].[Date Joined (Month Index)].[All]" dimensionUniqueName="[India_Staff]" displayFolder="" count="2" memberValueDatatype="20" unbalanced="0" hidden="1"/>
    <cacheHierarchy uniqueName="[Measures].[__XL_Count All_Staff]" caption="__XL_Count All_Staff" measure="1" displayFolder="" measureGroup="All_Staff" count="0" hidden="1"/>
    <cacheHierarchy uniqueName="[Measures].[__XL_Count India_Staff]" caption="__XL_Count India_Staff" measure="1" displayFolder="" measureGroup="India_Staff" count="0" hidden="1"/>
    <cacheHierarchy uniqueName="[Measures].[__No measures defined]" caption="__No measures defined" measure="1" displayFolder="" count="0" hidden="1"/>
    <cacheHierarchy uniqueName="[Measures].[Sum of Age]" caption="Sum of Age" measure="1" displayFolder="" measureGroup="All_Staff" count="0" hidden="1">
      <extLst>
        <ext xmlns:x15="http://schemas.microsoft.com/office/spreadsheetml/2010/11/main" uri="{B97F6D7D-B522-45F9-BDA1-12C45D357490}">
          <x15:cacheHierarchy aggregatedColumn="2"/>
        </ext>
      </extLst>
    </cacheHierarchy>
    <cacheHierarchy uniqueName="[Measures].[Sum of Salary]" caption="Sum of Salary" measure="1" displayFolder="" measureGroup="All_Staff" count="0" hidden="1">
      <extLst>
        <ext xmlns:x15="http://schemas.microsoft.com/office/spreadsheetml/2010/11/main" uri="{B97F6D7D-B522-45F9-BDA1-12C45D357490}">
          <x15:cacheHierarchy aggregatedColumn="6"/>
        </ext>
      </extLst>
    </cacheHierarchy>
    <cacheHierarchy uniqueName="[Measures].[Average of Age]" caption="Average of Age" measure="1" displayFolder="" measureGroup="All_Staff" count="0" hidden="1">
      <extLst>
        <ext xmlns:x15="http://schemas.microsoft.com/office/spreadsheetml/2010/11/main" uri="{B97F6D7D-B522-45F9-BDA1-12C45D357490}">
          <x15:cacheHierarchy aggregatedColumn="2"/>
        </ext>
      </extLst>
    </cacheHierarchy>
    <cacheHierarchy uniqueName="[Measures].[Count of Name]" caption="Count of Name" measure="1" displayFolder="" measureGroup="All_Staff"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Tenure]" caption="Sum of Tenure" measure="1" displayFolder="" measureGroup="All_Staff" count="0" hidden="1">
      <extLst>
        <ext xmlns:x15="http://schemas.microsoft.com/office/spreadsheetml/2010/11/main" uri="{B97F6D7D-B522-45F9-BDA1-12C45D357490}">
          <x15:cacheHierarchy aggregatedColumn="8"/>
        </ext>
      </extLst>
    </cacheHierarchy>
    <cacheHierarchy uniqueName="[Measures].[Average of Tenure]" caption="Average of Tenure" measure="1" displayFolder="" measureGroup="All_Staff" count="0" hidden="1">
      <extLst>
        <ext xmlns:x15="http://schemas.microsoft.com/office/spreadsheetml/2010/11/main" uri="{B97F6D7D-B522-45F9-BDA1-12C45D357490}">
          <x15:cacheHierarchy aggregatedColumn="8"/>
        </ext>
      </extLst>
    </cacheHierarchy>
    <cacheHierarchy uniqueName="[Measures].[Count of Name 2]" caption="Count of Name 2" measure="1" displayFolder="" measureGroup="India_Staff" count="0" hidden="1">
      <extLst>
        <ext xmlns:x15="http://schemas.microsoft.com/office/spreadsheetml/2010/11/main" uri="{B97F6D7D-B522-45F9-BDA1-12C45D357490}">
          <x15:cacheHierarchy aggregatedColumn="9"/>
        </ext>
      </extLst>
    </cacheHierarchy>
    <cacheHierarchy uniqueName="[Measures].[Sum of Salary 2]" caption="Sum of Salary 2" measure="1" displayFolder="" measureGroup="India_Staff" count="0" hidden="1">
      <extLst>
        <ext xmlns:x15="http://schemas.microsoft.com/office/spreadsheetml/2010/11/main" uri="{B97F6D7D-B522-45F9-BDA1-12C45D357490}">
          <x15:cacheHierarchy aggregatedColumn="15"/>
        </ext>
      </extLst>
    </cacheHierarchy>
    <cacheHierarchy uniqueName="[Measures].[Average of Salary]" caption="Average of Salary" measure="1" displayFolder="" measureGroup="India_Staff" count="0" hidden="1">
      <extLst>
        <ext xmlns:x15="http://schemas.microsoft.com/office/spreadsheetml/2010/11/main" uri="{B97F6D7D-B522-45F9-BDA1-12C45D357490}">
          <x15:cacheHierarchy aggregatedColumn="15"/>
        </ext>
      </extLst>
    </cacheHierarchy>
  </cacheHierarchies>
  <kpis count="0"/>
  <dimensions count="3">
    <dimension name="All_Staff" uniqueName="[All_Staff]" caption="All_Staff"/>
    <dimension name="India_Staff" uniqueName="[India_Staff]" caption="India_Staff"/>
    <dimension measure="1" name="Measures" uniqueName="[Measures]" caption="Measures"/>
  </dimensions>
  <measureGroups count="2">
    <measureGroup name="All_Staff" caption="All_Staff"/>
    <measureGroup name="India_Staff" caption="India_Staff"/>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gabata Brahma" refreshedDate="46037.834406365742" backgroundQuery="1" createdVersion="8" refreshedVersion="8" minRefreshableVersion="3" recordCount="0" supportSubquery="1" supportAdvancedDrill="1" xr:uid="{531B804A-2497-4110-9F1A-CB2749E2AA00}">
  <cacheSource type="external" connectionId="4"/>
  <cacheFields count="3">
    <cacheField name="[Measures].[Count of Name]" caption="Count of Name" numFmtId="0" hierarchy="26" level="32767"/>
    <cacheField name="[All_Staff].[Department].[Department]" caption="Department" numFmtId="0" hierarchy="5" level="1">
      <sharedItems count="5">
        <s v="Finance"/>
        <s v="HR"/>
        <s v="Procurement"/>
        <s v="Sales"/>
        <s v="Website"/>
      </sharedItems>
    </cacheField>
    <cacheField name="[All_Staff].[Country].[Country]" caption="Country" numFmtId="0" hierarchy="7" level="1">
      <sharedItems containsSemiMixedTypes="0" containsNonDate="0" containsString="0"/>
    </cacheField>
  </cacheFields>
  <cacheHierarchies count="32">
    <cacheHierarchy uniqueName="[All_Staff].[Name]" caption="Name" attribute="1" defaultMemberUniqueName="[All_Staff].[Name].[All]" allUniqueName="[All_Staff].[Name].[All]" dimensionUniqueName="[All_Staff]" displayFolder="" count="2" memberValueDatatype="130" unbalanced="0"/>
    <cacheHierarchy uniqueName="[All_Staff].[Gender]" caption="Gender" attribute="1" defaultMemberUniqueName="[All_Staff].[Gender].[All]" allUniqueName="[All_Staff].[Gender].[All]" dimensionUniqueName="[All_Staff]" displayFolder="" count="2" memberValueDatatype="130" unbalanced="0"/>
    <cacheHierarchy uniqueName="[All_Staff].[Age]" caption="Age" attribute="1" defaultMemberUniqueName="[All_Staff].[Age].[All]" allUniqueName="[All_Staff].[Age].[All]" dimensionUniqueName="[All_Staff]" displayFolder="" count="2" memberValueDatatype="20" unbalanced="0"/>
    <cacheHierarchy uniqueName="[All_Staff].[Rating]" caption="Rating" attribute="1" defaultMemberUniqueName="[All_Staff].[Rating].[All]" allUniqueName="[All_Staff].[Rating].[All]" dimensionUniqueName="[All_Staff]" displayFolder="" count="2" memberValueDatatype="130" unbalanced="0"/>
    <cacheHierarchy uniqueName="[All_Staff].[Date Joined]" caption="Date Joined" attribute="1" time="1" defaultMemberUniqueName="[All_Staff].[Date Joined].[All]" allUniqueName="[All_Staff].[Date Joined].[All]" dimensionUniqueName="[All_Staff]" displayFolder="" count="2" memberValueDatatype="7" unbalanced="0"/>
    <cacheHierarchy uniqueName="[All_Staff].[Department]" caption="Department" attribute="1" defaultMemberUniqueName="[All_Staff].[Department].[All]" allUniqueName="[All_Staff].[Department].[All]" dimensionUniqueName="[All_Staff]" displayFolder="" count="2" memberValueDatatype="130" unbalanced="0">
      <fieldsUsage count="2">
        <fieldUsage x="-1"/>
        <fieldUsage x="1"/>
      </fieldsUsage>
    </cacheHierarchy>
    <cacheHierarchy uniqueName="[All_Staff].[Salary]" caption="Salary" attribute="1" defaultMemberUniqueName="[All_Staff].[Salary].[All]" allUniqueName="[All_Staff].[Salary].[All]" dimensionUniqueName="[All_Staff]" displayFolder="" count="2" memberValueDatatype="20" unbalanced="0"/>
    <cacheHierarchy uniqueName="[All_Staff].[Country]" caption="Country" attribute="1" defaultMemberUniqueName="[All_Staff].[Country].[All]" allUniqueName="[All_Staff].[Country].[All]" dimensionUniqueName="[All_Staff]" displayFolder="" count="2" memberValueDatatype="130" unbalanced="0">
      <fieldsUsage count="2">
        <fieldUsage x="-1"/>
        <fieldUsage x="2"/>
      </fieldsUsage>
    </cacheHierarchy>
    <cacheHierarchy uniqueName="[All_Staff].[Tenure]" caption="Tenure" attribute="1" defaultMemberUniqueName="[All_Staff].[Tenure].[All]" allUniqueName="[All_Staff].[Tenure].[All]" dimensionUniqueName="[All_Staff]" displayFolder="" count="2" memberValueDatatype="5" unbalanced="0"/>
    <cacheHierarchy uniqueName="[India_Staff].[Name]" caption="Name" attribute="1" defaultMemberUniqueName="[India_Staff].[Name].[All]" allUniqueName="[India_Staff].[Name].[All]" dimensionUniqueName="[India_Staff]" displayFolder="" count="2" memberValueDatatype="130" unbalanced="0"/>
    <cacheHierarchy uniqueName="[India_Staff].[Gender]" caption="Gender" attribute="1" defaultMemberUniqueName="[India_Staff].[Gender].[All]" allUniqueName="[India_Staff].[Gender].[All]" dimensionUniqueName="[India_Staff]" displayFolder="" count="2" memberValueDatatype="130" unbalanced="0"/>
    <cacheHierarchy uniqueName="[India_Staff].[Age]" caption="Age" attribute="1" defaultMemberUniqueName="[India_Staff].[Age].[All]" allUniqueName="[India_Staff].[Age].[All]" dimensionUniqueName="[India_Staff]" displayFolder="" count="2" memberValueDatatype="20" unbalanced="0"/>
    <cacheHierarchy uniqueName="[India_Staff].[Rating]" caption="Rating" attribute="1" defaultMemberUniqueName="[India_Staff].[Rating].[All]" allUniqueName="[India_Staff].[Rating].[All]" dimensionUniqueName="[India_Staff]" displayFolder="" count="2" memberValueDatatype="130" unbalanced="0"/>
    <cacheHierarchy uniqueName="[India_Staff].[Date Joined]" caption="Date Joined" attribute="1" time="1" defaultMemberUniqueName="[India_Staff].[Date Joined].[All]" allUniqueName="[India_Staff].[Date Joined].[All]" dimensionUniqueName="[India_Staff]" displayFolder="" count="2" memberValueDatatype="7" unbalanced="0"/>
    <cacheHierarchy uniqueName="[India_Staff].[Department]" caption="Department" attribute="1" defaultMemberUniqueName="[India_Staff].[Department].[All]" allUniqueName="[India_Staff].[Department].[All]" dimensionUniqueName="[India_Staff]" displayFolder="" count="2" memberValueDatatype="130" unbalanced="0"/>
    <cacheHierarchy uniqueName="[India_Staff].[Salary]" caption="Salary" attribute="1" defaultMemberUniqueName="[India_Staff].[Salary].[All]" allUniqueName="[India_Staff].[Salary].[All]" dimensionUniqueName="[India_Staff]" displayFolder="" count="2" memberValueDatatype="20" unbalanced="0"/>
    <cacheHierarchy uniqueName="[India_Staff].[Date Joined (Year)]" caption="Date Joined (Year)" attribute="1" defaultMemberUniqueName="[India_Staff].[Date Joined (Year)].[All]" allUniqueName="[India_Staff].[Date Joined (Year)].[All]" dimensionUniqueName="[India_Staff]" displayFolder="" count="2" memberValueDatatype="130" unbalanced="0"/>
    <cacheHierarchy uniqueName="[India_Staff].[Date Joined (Quarter)]" caption="Date Joined (Quarter)" attribute="1" defaultMemberUniqueName="[India_Staff].[Date Joined (Quarter)].[All]" allUniqueName="[India_Staff].[Date Joined (Quarter)].[All]" dimensionUniqueName="[India_Staff]" displayFolder="" count="2" memberValueDatatype="130" unbalanced="0"/>
    <cacheHierarchy uniqueName="[India_Staff].[Date Joined (Month)]" caption="Date Joined (Month)" attribute="1" defaultMemberUniqueName="[India_Staff].[Date Joined (Month)].[All]" allUniqueName="[India_Staff].[Date Joined (Month)].[All]" dimensionUniqueName="[India_Staff]" displayFolder="" count="2" memberValueDatatype="130" unbalanced="0"/>
    <cacheHierarchy uniqueName="[India_Staff].[Date Joined (Month Index)]" caption="Date Joined (Month Index)" attribute="1" defaultMemberUniqueName="[India_Staff].[Date Joined (Month Index)].[All]" allUniqueName="[India_Staff].[Date Joined (Month Index)].[All]" dimensionUniqueName="[India_Staff]" displayFolder="" count="2" memberValueDatatype="20" unbalanced="0" hidden="1"/>
    <cacheHierarchy uniqueName="[Measures].[__XL_Count All_Staff]" caption="__XL_Count All_Staff" measure="1" displayFolder="" measureGroup="All_Staff" count="0" hidden="1"/>
    <cacheHierarchy uniqueName="[Measures].[__XL_Count India_Staff]" caption="__XL_Count India_Staff" measure="1" displayFolder="" measureGroup="India_Staff" count="0" hidden="1"/>
    <cacheHierarchy uniqueName="[Measures].[__No measures defined]" caption="__No measures defined" measure="1" displayFolder="" count="0" hidden="1"/>
    <cacheHierarchy uniqueName="[Measures].[Sum of Age]" caption="Sum of Age" measure="1" displayFolder="" measureGroup="All_Staff" count="0" hidden="1">
      <extLst>
        <ext xmlns:x15="http://schemas.microsoft.com/office/spreadsheetml/2010/11/main" uri="{B97F6D7D-B522-45F9-BDA1-12C45D357490}">
          <x15:cacheHierarchy aggregatedColumn="2"/>
        </ext>
      </extLst>
    </cacheHierarchy>
    <cacheHierarchy uniqueName="[Measures].[Sum of Salary]" caption="Sum of Salary" measure="1" displayFolder="" measureGroup="All_Staff" count="0" hidden="1">
      <extLst>
        <ext xmlns:x15="http://schemas.microsoft.com/office/spreadsheetml/2010/11/main" uri="{B97F6D7D-B522-45F9-BDA1-12C45D357490}">
          <x15:cacheHierarchy aggregatedColumn="6"/>
        </ext>
      </extLst>
    </cacheHierarchy>
    <cacheHierarchy uniqueName="[Measures].[Average of Age]" caption="Average of Age" measure="1" displayFolder="" measureGroup="All_Staff" count="0" hidden="1">
      <extLst>
        <ext xmlns:x15="http://schemas.microsoft.com/office/spreadsheetml/2010/11/main" uri="{B97F6D7D-B522-45F9-BDA1-12C45D357490}">
          <x15:cacheHierarchy aggregatedColumn="2"/>
        </ext>
      </extLst>
    </cacheHierarchy>
    <cacheHierarchy uniqueName="[Measures].[Count of Name]" caption="Count of Name" measure="1" displayFolder="" measureGroup="All_Staff"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Tenure]" caption="Sum of Tenure" measure="1" displayFolder="" measureGroup="All_Staff" count="0" hidden="1">
      <extLst>
        <ext xmlns:x15="http://schemas.microsoft.com/office/spreadsheetml/2010/11/main" uri="{B97F6D7D-B522-45F9-BDA1-12C45D357490}">
          <x15:cacheHierarchy aggregatedColumn="8"/>
        </ext>
      </extLst>
    </cacheHierarchy>
    <cacheHierarchy uniqueName="[Measures].[Average of Tenure]" caption="Average of Tenure" measure="1" displayFolder="" measureGroup="All_Staff" count="0" hidden="1">
      <extLst>
        <ext xmlns:x15="http://schemas.microsoft.com/office/spreadsheetml/2010/11/main" uri="{B97F6D7D-B522-45F9-BDA1-12C45D357490}">
          <x15:cacheHierarchy aggregatedColumn="8"/>
        </ext>
      </extLst>
    </cacheHierarchy>
    <cacheHierarchy uniqueName="[Measures].[Count of Name 2]" caption="Count of Name 2" measure="1" displayFolder="" measureGroup="India_Staff" count="0" hidden="1">
      <extLst>
        <ext xmlns:x15="http://schemas.microsoft.com/office/spreadsheetml/2010/11/main" uri="{B97F6D7D-B522-45F9-BDA1-12C45D357490}">
          <x15:cacheHierarchy aggregatedColumn="9"/>
        </ext>
      </extLst>
    </cacheHierarchy>
    <cacheHierarchy uniqueName="[Measures].[Sum of Salary 2]" caption="Sum of Salary 2" measure="1" displayFolder="" measureGroup="India_Staff" count="0" hidden="1">
      <extLst>
        <ext xmlns:x15="http://schemas.microsoft.com/office/spreadsheetml/2010/11/main" uri="{B97F6D7D-B522-45F9-BDA1-12C45D357490}">
          <x15:cacheHierarchy aggregatedColumn="15"/>
        </ext>
      </extLst>
    </cacheHierarchy>
    <cacheHierarchy uniqueName="[Measures].[Average of Salary]" caption="Average of Salary" measure="1" displayFolder="" measureGroup="India_Staff" count="0" hidden="1">
      <extLst>
        <ext xmlns:x15="http://schemas.microsoft.com/office/spreadsheetml/2010/11/main" uri="{B97F6D7D-B522-45F9-BDA1-12C45D357490}">
          <x15:cacheHierarchy aggregatedColumn="15"/>
        </ext>
      </extLst>
    </cacheHierarchy>
  </cacheHierarchies>
  <kpis count="0"/>
  <dimensions count="3">
    <dimension name="All_Staff" uniqueName="[All_Staff]" caption="All_Staff"/>
    <dimension name="India_Staff" uniqueName="[India_Staff]" caption="India_Staff"/>
    <dimension measure="1" name="Measures" uniqueName="[Measures]" caption="Measures"/>
  </dimensions>
  <measureGroups count="2">
    <measureGroup name="All_Staff" caption="All_Staff"/>
    <measureGroup name="India_Staff" caption="India_Staff"/>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gabata Brahma" refreshedDate="46037.716633564814" backgroundQuery="1" createdVersion="3" refreshedVersion="8" minRefreshableVersion="3" recordCount="0" supportSubquery="1" supportAdvancedDrill="1" xr:uid="{7389D165-ECC2-4912-AAE1-86AC1F4A406E}">
  <cacheSource type="external" connectionId="4">
    <extLst>
      <ext xmlns:x14="http://schemas.microsoft.com/office/spreadsheetml/2009/9/main" uri="{F057638F-6D5F-4e77-A914-E7F072B9BCA8}">
        <x14:sourceConnection name="ThisWorkbookDataModel"/>
      </ext>
    </extLst>
  </cacheSource>
  <cacheFields count="0"/>
  <cacheHierarchies count="32">
    <cacheHierarchy uniqueName="[All_Staff].[Name]" caption="Name" attribute="1" defaultMemberUniqueName="[All_Staff].[Name].[All]" allUniqueName="[All_Staff].[Name].[All]" dimensionUniqueName="[All_Staff]" displayFolder="" count="0" memberValueDatatype="130" unbalanced="0"/>
    <cacheHierarchy uniqueName="[All_Staff].[Gender]" caption="Gender" attribute="1" defaultMemberUniqueName="[All_Staff].[Gender].[All]" allUniqueName="[All_Staff].[Gender].[All]" dimensionUniqueName="[All_Staff]" displayFolder="" count="0" memberValueDatatype="130" unbalanced="0"/>
    <cacheHierarchy uniqueName="[All_Staff].[Age]" caption="Age" attribute="1" defaultMemberUniqueName="[All_Staff].[Age].[All]" allUniqueName="[All_Staff].[Age].[All]" dimensionUniqueName="[All_Staff]" displayFolder="" count="0" memberValueDatatype="20" unbalanced="0"/>
    <cacheHierarchy uniqueName="[All_Staff].[Rating]" caption="Rating" attribute="1" defaultMemberUniqueName="[All_Staff].[Rating].[All]" allUniqueName="[All_Staff].[Rating].[All]" dimensionUniqueName="[All_Staff]" displayFolder="" count="0" memberValueDatatype="130" unbalanced="0"/>
    <cacheHierarchy uniqueName="[All_Staff].[Date Joined]" caption="Date Joined" attribute="1" time="1" defaultMemberUniqueName="[All_Staff].[Date Joined].[All]" allUniqueName="[All_Staff].[Date Joined].[All]" dimensionUniqueName="[All_Staff]" displayFolder="" count="0" memberValueDatatype="7" unbalanced="0"/>
    <cacheHierarchy uniqueName="[All_Staff].[Department]" caption="Department" attribute="1" defaultMemberUniqueName="[All_Staff].[Department].[All]" allUniqueName="[All_Staff].[Department].[All]" dimensionUniqueName="[All_Staff]" displayFolder="" count="0" memberValueDatatype="130" unbalanced="0"/>
    <cacheHierarchy uniqueName="[All_Staff].[Salary]" caption="Salary" attribute="1" defaultMemberUniqueName="[All_Staff].[Salary].[All]" allUniqueName="[All_Staff].[Salary].[All]" dimensionUniqueName="[All_Staff]" displayFolder="" count="0" memberValueDatatype="20" unbalanced="0"/>
    <cacheHierarchy uniqueName="[All_Staff].[Country]" caption="Country" attribute="1" defaultMemberUniqueName="[All_Staff].[Country].[All]" allUniqueName="[All_Staff].[Country].[All]" dimensionUniqueName="[All_Staff]" displayFolder="" count="0" memberValueDatatype="130" unbalanced="0"/>
    <cacheHierarchy uniqueName="[All_Staff].[Tenure]" caption="Tenure" attribute="1" defaultMemberUniqueName="[All_Staff].[Tenure].[All]" allUniqueName="[All_Staff].[Tenure].[All]" dimensionUniqueName="[All_Staff]" displayFolder="" count="0" memberValueDatatype="5" unbalanced="0"/>
    <cacheHierarchy uniqueName="[India_Staff].[Name]" caption="Name" attribute="1" defaultMemberUniqueName="[India_Staff].[Name].[All]" allUniqueName="[India_Staff].[Name].[All]" dimensionUniqueName="[India_Staff]" displayFolder="" count="0" memberValueDatatype="130" unbalanced="0"/>
    <cacheHierarchy uniqueName="[India_Staff].[Gender]" caption="Gender" attribute="1" defaultMemberUniqueName="[India_Staff].[Gender].[All]" allUniqueName="[India_Staff].[Gender].[All]" dimensionUniqueName="[India_Staff]" displayFolder="" count="0" memberValueDatatype="130" unbalanced="0"/>
    <cacheHierarchy uniqueName="[India_Staff].[Age]" caption="Age" attribute="1" defaultMemberUniqueName="[India_Staff].[Age].[All]" allUniqueName="[India_Staff].[Age].[All]" dimensionUniqueName="[India_Staff]" displayFolder="" count="0" memberValueDatatype="20" unbalanced="0"/>
    <cacheHierarchy uniqueName="[India_Staff].[Rating]" caption="Rating" attribute="1" defaultMemberUniqueName="[India_Staff].[Rating].[All]" allUniqueName="[India_Staff].[Rating].[All]" dimensionUniqueName="[India_Staff]" displayFolder="" count="0" memberValueDatatype="130" unbalanced="0"/>
    <cacheHierarchy uniqueName="[India_Staff].[Date Joined]" caption="Date Joined" attribute="1" time="1" defaultMemberUniqueName="[India_Staff].[Date Joined].[All]" allUniqueName="[India_Staff].[Date Joined].[All]" dimensionUniqueName="[India_Staff]" displayFolder="" count="0" memberValueDatatype="7" unbalanced="0"/>
    <cacheHierarchy uniqueName="[India_Staff].[Department]" caption="Department" attribute="1" defaultMemberUniqueName="[India_Staff].[Department].[All]" allUniqueName="[India_Staff].[Department].[All]" dimensionUniqueName="[India_Staff]" displayFolder="" count="0" memberValueDatatype="130" unbalanced="0"/>
    <cacheHierarchy uniqueName="[India_Staff].[Salary]" caption="Salary" attribute="1" defaultMemberUniqueName="[India_Staff].[Salary].[All]" allUniqueName="[India_Staff].[Salary].[All]" dimensionUniqueName="[India_Staff]" displayFolder="" count="0" memberValueDatatype="20" unbalanced="0"/>
    <cacheHierarchy uniqueName="[India_Staff].[Date Joined (Year)]" caption="Date Joined (Year)" attribute="1" defaultMemberUniqueName="[India_Staff].[Date Joined (Year)].[All]" allUniqueName="[India_Staff].[Date Joined (Year)].[All]" dimensionUniqueName="[India_Staff]" displayFolder="" count="0" memberValueDatatype="130" unbalanced="0"/>
    <cacheHierarchy uniqueName="[India_Staff].[Date Joined (Quarter)]" caption="Date Joined (Quarter)" attribute="1" defaultMemberUniqueName="[India_Staff].[Date Joined (Quarter)].[All]" allUniqueName="[India_Staff].[Date Joined (Quarter)].[All]" dimensionUniqueName="[India_Staff]" displayFolder="" count="0" memberValueDatatype="130" unbalanced="0"/>
    <cacheHierarchy uniqueName="[India_Staff].[Date Joined (Month)]" caption="Date Joined (Month)" attribute="1" defaultMemberUniqueName="[India_Staff].[Date Joined (Month)].[All]" allUniqueName="[India_Staff].[Date Joined (Month)].[All]" dimensionUniqueName="[India_Staff]" displayFolder="" count="0" memberValueDatatype="130" unbalanced="0"/>
    <cacheHierarchy uniqueName="[India_Staff].[Date Joined (Month Index)]" caption="Date Joined (Month Index)" attribute="1" defaultMemberUniqueName="[India_Staff].[Date Joined (Month Index)].[All]" allUniqueName="[India_Staff].[Date Joined (Month Index)].[All]" dimensionUniqueName="[India_Staff]" displayFolder="" count="0" memberValueDatatype="20" unbalanced="0" hidden="1"/>
    <cacheHierarchy uniqueName="[Measures].[__XL_Count All_Staff]" caption="__XL_Count All_Staff" measure="1" displayFolder="" measureGroup="All_Staff" count="0" hidden="1"/>
    <cacheHierarchy uniqueName="[Measures].[__XL_Count India_Staff]" caption="__XL_Count India_Staff" measure="1" displayFolder="" measureGroup="India_Staff" count="0" hidden="1"/>
    <cacheHierarchy uniqueName="[Measures].[__No measures defined]" caption="__No measures defined" measure="1" displayFolder="" count="0" hidden="1"/>
    <cacheHierarchy uniqueName="[Measures].[Sum of Age]" caption="Sum of Age" measure="1" displayFolder="" measureGroup="All_Staff" count="0" hidden="1">
      <extLst>
        <ext xmlns:x15="http://schemas.microsoft.com/office/spreadsheetml/2010/11/main" uri="{B97F6D7D-B522-45F9-BDA1-12C45D357490}">
          <x15:cacheHierarchy aggregatedColumn="2"/>
        </ext>
      </extLst>
    </cacheHierarchy>
    <cacheHierarchy uniqueName="[Measures].[Sum of Salary]" caption="Sum of Salary" measure="1" displayFolder="" measureGroup="All_Staff" count="0" hidden="1">
      <extLst>
        <ext xmlns:x15="http://schemas.microsoft.com/office/spreadsheetml/2010/11/main" uri="{B97F6D7D-B522-45F9-BDA1-12C45D357490}">
          <x15:cacheHierarchy aggregatedColumn="6"/>
        </ext>
      </extLst>
    </cacheHierarchy>
    <cacheHierarchy uniqueName="[Measures].[Average of Age]" caption="Average of Age" measure="1" displayFolder="" measureGroup="All_Staff" count="0" hidden="1">
      <extLst>
        <ext xmlns:x15="http://schemas.microsoft.com/office/spreadsheetml/2010/11/main" uri="{B97F6D7D-B522-45F9-BDA1-12C45D357490}">
          <x15:cacheHierarchy aggregatedColumn="2"/>
        </ext>
      </extLst>
    </cacheHierarchy>
    <cacheHierarchy uniqueName="[Measures].[Count of Name]" caption="Count of Name" measure="1" displayFolder="" measureGroup="All_Staff" count="0" hidden="1">
      <extLst>
        <ext xmlns:x15="http://schemas.microsoft.com/office/spreadsheetml/2010/11/main" uri="{B97F6D7D-B522-45F9-BDA1-12C45D357490}">
          <x15:cacheHierarchy aggregatedColumn="0"/>
        </ext>
      </extLst>
    </cacheHierarchy>
    <cacheHierarchy uniqueName="[Measures].[Sum of Tenure]" caption="Sum of Tenure" measure="1" displayFolder="" measureGroup="All_Staff" count="0" hidden="1">
      <extLst>
        <ext xmlns:x15="http://schemas.microsoft.com/office/spreadsheetml/2010/11/main" uri="{B97F6D7D-B522-45F9-BDA1-12C45D357490}">
          <x15:cacheHierarchy aggregatedColumn="8"/>
        </ext>
      </extLst>
    </cacheHierarchy>
    <cacheHierarchy uniqueName="[Measures].[Average of Tenure]" caption="Average of Tenure" measure="1" displayFolder="" measureGroup="All_Staff" count="0" hidden="1">
      <extLst>
        <ext xmlns:x15="http://schemas.microsoft.com/office/spreadsheetml/2010/11/main" uri="{B97F6D7D-B522-45F9-BDA1-12C45D357490}">
          <x15:cacheHierarchy aggregatedColumn="8"/>
        </ext>
      </extLst>
    </cacheHierarchy>
    <cacheHierarchy uniqueName="[Measures].[Count of Name 2]" caption="Count of Name 2" measure="1" displayFolder="" measureGroup="India_Staff" count="0" hidden="1">
      <extLst>
        <ext xmlns:x15="http://schemas.microsoft.com/office/spreadsheetml/2010/11/main" uri="{B97F6D7D-B522-45F9-BDA1-12C45D357490}">
          <x15:cacheHierarchy aggregatedColumn="9"/>
        </ext>
      </extLst>
    </cacheHierarchy>
    <cacheHierarchy uniqueName="[Measures].[Sum of Salary 2]" caption="Sum of Salary 2" measure="1" displayFolder="" measureGroup="India_Staff" count="0" hidden="1">
      <extLst>
        <ext xmlns:x15="http://schemas.microsoft.com/office/spreadsheetml/2010/11/main" uri="{B97F6D7D-B522-45F9-BDA1-12C45D357490}">
          <x15:cacheHierarchy aggregatedColumn="15"/>
        </ext>
      </extLst>
    </cacheHierarchy>
    <cacheHierarchy uniqueName="[Measures].[Average of Salary]" caption="Average of Salary" measure="1" displayFolder="" measureGroup="India_Staff" count="0" hidden="1">
      <extLst>
        <ext xmlns:x15="http://schemas.microsoft.com/office/spreadsheetml/2010/11/main" uri="{B97F6D7D-B522-45F9-BDA1-12C45D357490}">
          <x15:cacheHierarchy aggregatedColumn="15"/>
        </ext>
      </extLst>
    </cacheHierarchy>
  </cacheHierarchies>
  <kpis count="0"/>
  <dimensions count="3">
    <dimension name="All_Staff" uniqueName="[All_Staff]" caption="All_Staff"/>
    <dimension name="India_Staff" uniqueName="[India_Staff]" caption="India_Staff"/>
    <dimension measure="1" name="Measures" uniqueName="[Measures]" caption="Measures"/>
  </dimensions>
  <measureGroups count="2">
    <measureGroup name="All_Staff" caption="All_Staff"/>
    <measureGroup name="India_Staff" caption="India_Staff"/>
  </measureGroups>
  <maps count="2">
    <map measureGroup="0" dimension="0"/>
    <map measureGroup="1" dimension="1"/>
  </maps>
  <extLst>
    <ext xmlns:x14="http://schemas.microsoft.com/office/spreadsheetml/2009/9/main" uri="{725AE2AE-9491-48be-B2B4-4EB974FC3084}">
      <x14:pivotCacheDefinition slicerData="1" pivotCacheId="1151705379"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gabata Brahma" refreshedDate="46037.832554629633" backgroundQuery="1" createdVersion="3" refreshedVersion="8" minRefreshableVersion="3" recordCount="0" supportSubquery="1" supportAdvancedDrill="1" xr:uid="{A02B5E35-27BE-4C03-898A-DCEC23C1975D}">
  <cacheSource type="external" connectionId="4">
    <extLst>
      <ext xmlns:x14="http://schemas.microsoft.com/office/spreadsheetml/2009/9/main" uri="{F057638F-6D5F-4e77-A914-E7F072B9BCA8}">
        <x14:sourceConnection name="ThisWorkbookDataModel"/>
      </ext>
    </extLst>
  </cacheSource>
  <cacheFields count="0"/>
  <cacheHierarchies count="32">
    <cacheHierarchy uniqueName="[All_Staff].[Name]" caption="Name" attribute="1" defaultMemberUniqueName="[All_Staff].[Name].[All]" allUniqueName="[All_Staff].[Name].[All]" dimensionUniqueName="[All_Staff]" displayFolder="" count="0" memberValueDatatype="130" unbalanced="0"/>
    <cacheHierarchy uniqueName="[All_Staff].[Gender]" caption="Gender" attribute="1" defaultMemberUniqueName="[All_Staff].[Gender].[All]" allUniqueName="[All_Staff].[Gender].[All]" dimensionUniqueName="[All_Staff]" displayFolder="" count="0" memberValueDatatype="130" unbalanced="0"/>
    <cacheHierarchy uniqueName="[All_Staff].[Age]" caption="Age" attribute="1" defaultMemberUniqueName="[All_Staff].[Age].[All]" allUniqueName="[All_Staff].[Age].[All]" dimensionUniqueName="[All_Staff]" displayFolder="" count="0" memberValueDatatype="20" unbalanced="0"/>
    <cacheHierarchy uniqueName="[All_Staff].[Rating]" caption="Rating" attribute="1" defaultMemberUniqueName="[All_Staff].[Rating].[All]" allUniqueName="[All_Staff].[Rating].[All]" dimensionUniqueName="[All_Staff]" displayFolder="" count="0" memberValueDatatype="130" unbalanced="0"/>
    <cacheHierarchy uniqueName="[All_Staff].[Date Joined]" caption="Date Joined" attribute="1" time="1" defaultMemberUniqueName="[All_Staff].[Date Joined].[All]" allUniqueName="[All_Staff].[Date Joined].[All]" dimensionUniqueName="[All_Staff]" displayFolder="" count="0" memberValueDatatype="7" unbalanced="0"/>
    <cacheHierarchy uniqueName="[All_Staff].[Department]" caption="Department" attribute="1" defaultMemberUniqueName="[All_Staff].[Department].[All]" allUniqueName="[All_Staff].[Department].[All]" dimensionUniqueName="[All_Staff]" displayFolder="" count="2" memberValueDatatype="130" unbalanced="0"/>
    <cacheHierarchy uniqueName="[All_Staff].[Salary]" caption="Salary" attribute="1" defaultMemberUniqueName="[All_Staff].[Salary].[All]" allUniqueName="[All_Staff].[Salary].[All]" dimensionUniqueName="[All_Staff]" displayFolder="" count="0" memberValueDatatype="20" unbalanced="0"/>
    <cacheHierarchy uniqueName="[All_Staff].[Country]" caption="Country" attribute="1" defaultMemberUniqueName="[All_Staff].[Country].[All]" allUniqueName="[All_Staff].[Country].[All]" dimensionUniqueName="[All_Staff]" displayFolder="" count="2" memberValueDatatype="130" unbalanced="0"/>
    <cacheHierarchy uniqueName="[All_Staff].[Tenure]" caption="Tenure" attribute="1" defaultMemberUniqueName="[All_Staff].[Tenure].[All]" allUniqueName="[All_Staff].[Tenure].[All]" dimensionUniqueName="[All_Staff]" displayFolder="" count="0" memberValueDatatype="5" unbalanced="0"/>
    <cacheHierarchy uniqueName="[India_Staff].[Name]" caption="Name" attribute="1" defaultMemberUniqueName="[India_Staff].[Name].[All]" allUniqueName="[India_Staff].[Name].[All]" dimensionUniqueName="[India_Staff]" displayFolder="" count="0" memberValueDatatype="130" unbalanced="0"/>
    <cacheHierarchy uniqueName="[India_Staff].[Gender]" caption="Gender" attribute="1" defaultMemberUniqueName="[India_Staff].[Gender].[All]" allUniqueName="[India_Staff].[Gender].[All]" dimensionUniqueName="[India_Staff]" displayFolder="" count="0" memberValueDatatype="130" unbalanced="0"/>
    <cacheHierarchy uniqueName="[India_Staff].[Age]" caption="Age" attribute="1" defaultMemberUniqueName="[India_Staff].[Age].[All]" allUniqueName="[India_Staff].[Age].[All]" dimensionUniqueName="[India_Staff]" displayFolder="" count="0" memberValueDatatype="20" unbalanced="0"/>
    <cacheHierarchy uniqueName="[India_Staff].[Rating]" caption="Rating" attribute="1" defaultMemberUniqueName="[India_Staff].[Rating].[All]" allUniqueName="[India_Staff].[Rating].[All]" dimensionUniqueName="[India_Staff]" displayFolder="" count="0" memberValueDatatype="130" unbalanced="0"/>
    <cacheHierarchy uniqueName="[India_Staff].[Date Joined]" caption="Date Joined" attribute="1" time="1" defaultMemberUniqueName="[India_Staff].[Date Joined].[All]" allUniqueName="[India_Staff].[Date Joined].[All]" dimensionUniqueName="[India_Staff]" displayFolder="" count="0" memberValueDatatype="7" unbalanced="0"/>
    <cacheHierarchy uniqueName="[India_Staff].[Department]" caption="Department" attribute="1" defaultMemberUniqueName="[India_Staff].[Department].[All]" allUniqueName="[India_Staff].[Department].[All]" dimensionUniqueName="[India_Staff]" displayFolder="" count="0" memberValueDatatype="130" unbalanced="0"/>
    <cacheHierarchy uniqueName="[India_Staff].[Salary]" caption="Salary" attribute="1" defaultMemberUniqueName="[India_Staff].[Salary].[All]" allUniqueName="[India_Staff].[Salary].[All]" dimensionUniqueName="[India_Staff]" displayFolder="" count="0" memberValueDatatype="20" unbalanced="0"/>
    <cacheHierarchy uniqueName="[India_Staff].[Date Joined (Year)]" caption="Date Joined (Year)" attribute="1" defaultMemberUniqueName="[India_Staff].[Date Joined (Year)].[All]" allUniqueName="[India_Staff].[Date Joined (Year)].[All]" dimensionUniqueName="[India_Staff]" displayFolder="" count="0" memberValueDatatype="130" unbalanced="0"/>
    <cacheHierarchy uniqueName="[India_Staff].[Date Joined (Quarter)]" caption="Date Joined (Quarter)" attribute="1" defaultMemberUniqueName="[India_Staff].[Date Joined (Quarter)].[All]" allUniqueName="[India_Staff].[Date Joined (Quarter)].[All]" dimensionUniqueName="[India_Staff]" displayFolder="" count="0" memberValueDatatype="130" unbalanced="0"/>
    <cacheHierarchy uniqueName="[India_Staff].[Date Joined (Month)]" caption="Date Joined (Month)" attribute="1" defaultMemberUniqueName="[India_Staff].[Date Joined (Month)].[All]" allUniqueName="[India_Staff].[Date Joined (Month)].[All]" dimensionUniqueName="[India_Staff]" displayFolder="" count="0" memberValueDatatype="130" unbalanced="0"/>
    <cacheHierarchy uniqueName="[India_Staff].[Date Joined (Month Index)]" caption="Date Joined (Month Index)" attribute="1" defaultMemberUniqueName="[India_Staff].[Date Joined (Month Index)].[All]" allUniqueName="[India_Staff].[Date Joined (Month Index)].[All]" dimensionUniqueName="[India_Staff]" displayFolder="" count="0" memberValueDatatype="20" unbalanced="0" hidden="1"/>
    <cacheHierarchy uniqueName="[Measures].[__XL_Count All_Staff]" caption="__XL_Count All_Staff" measure="1" displayFolder="" measureGroup="All_Staff" count="0" hidden="1"/>
    <cacheHierarchy uniqueName="[Measures].[__XL_Count India_Staff]" caption="__XL_Count India_Staff" measure="1" displayFolder="" measureGroup="India_Staff" count="0" hidden="1"/>
    <cacheHierarchy uniqueName="[Measures].[__No measures defined]" caption="__No measures defined" measure="1" displayFolder="" count="0" hidden="1"/>
    <cacheHierarchy uniqueName="[Measures].[Sum of Age]" caption="Sum of Age" measure="1" displayFolder="" measureGroup="All_Staff" count="0" hidden="1">
      <extLst>
        <ext xmlns:x15="http://schemas.microsoft.com/office/spreadsheetml/2010/11/main" uri="{B97F6D7D-B522-45F9-BDA1-12C45D357490}">
          <x15:cacheHierarchy aggregatedColumn="2"/>
        </ext>
      </extLst>
    </cacheHierarchy>
    <cacheHierarchy uniqueName="[Measures].[Sum of Salary]" caption="Sum of Salary" measure="1" displayFolder="" measureGroup="All_Staff" count="0" hidden="1">
      <extLst>
        <ext xmlns:x15="http://schemas.microsoft.com/office/spreadsheetml/2010/11/main" uri="{B97F6D7D-B522-45F9-BDA1-12C45D357490}">
          <x15:cacheHierarchy aggregatedColumn="6"/>
        </ext>
      </extLst>
    </cacheHierarchy>
    <cacheHierarchy uniqueName="[Measures].[Average of Age]" caption="Average of Age" measure="1" displayFolder="" measureGroup="All_Staff" count="0" hidden="1">
      <extLst>
        <ext xmlns:x15="http://schemas.microsoft.com/office/spreadsheetml/2010/11/main" uri="{B97F6D7D-B522-45F9-BDA1-12C45D357490}">
          <x15:cacheHierarchy aggregatedColumn="2"/>
        </ext>
      </extLst>
    </cacheHierarchy>
    <cacheHierarchy uniqueName="[Measures].[Count of Name]" caption="Count of Name" measure="1" displayFolder="" measureGroup="All_Staff" count="0" hidden="1">
      <extLst>
        <ext xmlns:x15="http://schemas.microsoft.com/office/spreadsheetml/2010/11/main" uri="{B97F6D7D-B522-45F9-BDA1-12C45D357490}">
          <x15:cacheHierarchy aggregatedColumn="0"/>
        </ext>
      </extLst>
    </cacheHierarchy>
    <cacheHierarchy uniqueName="[Measures].[Sum of Tenure]" caption="Sum of Tenure" measure="1" displayFolder="" measureGroup="All_Staff" count="0" hidden="1">
      <extLst>
        <ext xmlns:x15="http://schemas.microsoft.com/office/spreadsheetml/2010/11/main" uri="{B97F6D7D-B522-45F9-BDA1-12C45D357490}">
          <x15:cacheHierarchy aggregatedColumn="8"/>
        </ext>
      </extLst>
    </cacheHierarchy>
    <cacheHierarchy uniqueName="[Measures].[Average of Tenure]" caption="Average of Tenure" measure="1" displayFolder="" measureGroup="All_Staff" count="0" hidden="1">
      <extLst>
        <ext xmlns:x15="http://schemas.microsoft.com/office/spreadsheetml/2010/11/main" uri="{B97F6D7D-B522-45F9-BDA1-12C45D357490}">
          <x15:cacheHierarchy aggregatedColumn="8"/>
        </ext>
      </extLst>
    </cacheHierarchy>
    <cacheHierarchy uniqueName="[Measures].[Count of Name 2]" caption="Count of Name 2" measure="1" displayFolder="" measureGroup="India_Staff" count="0" hidden="1">
      <extLst>
        <ext xmlns:x15="http://schemas.microsoft.com/office/spreadsheetml/2010/11/main" uri="{B97F6D7D-B522-45F9-BDA1-12C45D357490}">
          <x15:cacheHierarchy aggregatedColumn="9"/>
        </ext>
      </extLst>
    </cacheHierarchy>
    <cacheHierarchy uniqueName="[Measures].[Sum of Salary 2]" caption="Sum of Salary 2" measure="1" displayFolder="" measureGroup="India_Staff" count="0" hidden="1">
      <extLst>
        <ext xmlns:x15="http://schemas.microsoft.com/office/spreadsheetml/2010/11/main" uri="{B97F6D7D-B522-45F9-BDA1-12C45D357490}">
          <x15:cacheHierarchy aggregatedColumn="15"/>
        </ext>
      </extLst>
    </cacheHierarchy>
    <cacheHierarchy uniqueName="[Measures].[Average of Salary]" caption="Average of Salary" measure="1" displayFolder="" measureGroup="India_Staff" count="0" hidden="1">
      <extLst>
        <ext xmlns:x15="http://schemas.microsoft.com/office/spreadsheetml/2010/11/main" uri="{B97F6D7D-B522-45F9-BDA1-12C45D357490}">
          <x15:cacheHierarchy aggregatedColumn="15"/>
        </ext>
      </extLst>
    </cacheHierarchy>
  </cacheHierarchies>
  <kpis count="0"/>
  <extLst>
    <ext xmlns:x14="http://schemas.microsoft.com/office/spreadsheetml/2009/9/main" uri="{725AE2AE-9491-48be-B2B4-4EB974FC3084}">
      <x14:pivotCacheDefinition slicerData="1" pivotCacheId="118875454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95091DA-E341-434B-95CA-943CD924C33F}" name="PivotTable1" cacheId="117" dataOnRows="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5:D10" firstHeaderRow="1" firstDataRow="2" firstDataCol="1"/>
  <pivotFields count="6">
    <pivotField axis="axisCol" allDrilled="1" subtotalTop="0" showAll="0" dataSourceSort="1" defaultSubtotal="0" defaultAttributeDrillState="1">
      <items count="2">
        <item s="1" x="0"/>
        <item s="1" x="1"/>
      </items>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2"/>
  </rowFields>
  <rowItems count="4">
    <i>
      <x/>
    </i>
    <i i="1">
      <x v="1"/>
    </i>
    <i i="2">
      <x v="2"/>
    </i>
    <i i="3">
      <x v="3"/>
    </i>
  </rowItems>
  <colFields count="1">
    <field x="0"/>
  </colFields>
  <colItems count="3">
    <i>
      <x/>
    </i>
    <i>
      <x v="1"/>
    </i>
    <i t="grand">
      <x/>
    </i>
  </colItems>
  <dataFields count="4">
    <dataField name="Count of Name" fld="1" subtotal="count" baseField="0" baseItem="0"/>
    <dataField name="Average of Age" fld="2" subtotal="average" baseField="0" baseItem="0"/>
    <dataField name="Sum of Salary" fld="3" baseField="0" baseItem="0"/>
    <dataField name="Average of Tenure" fld="4" subtotal="average" baseField="0" baseItem="0"/>
  </dataFields>
  <formats count="3">
    <format dxfId="14">
      <pivotArea collapsedLevelsAreSubtotals="1" fieldPosition="0">
        <references count="1">
          <reference field="4294967294" count="1">
            <x v="3"/>
          </reference>
        </references>
      </pivotArea>
    </format>
    <format dxfId="15">
      <pivotArea collapsedLevelsAreSubtotals="1" fieldPosition="0">
        <references count="1">
          <reference field="4294967294" count="1">
            <x v="2"/>
          </reference>
        </references>
      </pivotArea>
    </format>
    <format dxfId="16">
      <pivotArea collapsedLevelsAreSubtotals="1" fieldPosition="0">
        <references count="1">
          <reference field="4294967294" count="1">
            <x v="1"/>
          </reference>
        </references>
      </pivotArea>
    </format>
  </formats>
  <pivotHierarchies count="32">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Age"/>
    <pivotHierarchy dragToData="1"/>
    <pivotHierarchy dragToData="1"/>
    <pivotHierarchy dragToData="1" caption="Average of Tenur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ank-data-file.xlsx!All_Staff">
        <x15:activeTabTopLevelEntity name="[All_Staff]"/>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D50F56C-7151-431E-B4A1-7A19DF42DBD8}" name="PivotTable2" cacheId="12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C7" firstHeaderRow="0" firstDataRow="1" firstDataCol="1"/>
  <pivotFields count="3">
    <pivotField axis="axisRow" allDrilled="1" subtotalTop="0" showAll="0" defaultSubtotal="0" defaultAttributeDrillState="1">
      <items count="5">
        <item x="2"/>
        <item x="0"/>
        <item x="1"/>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name="Count of Name" fld="1" subtotal="count" baseField="0" baseItem="0"/>
    <dataField name="Average of Salary" fld="2" subtotal="average" baseField="0" baseItem="2" numFmtId="8"/>
  </dataFields>
  <formats count="1">
    <format dxfId="13">
      <pivotArea outline="0" collapsedLevelsAreSubtotals="1" fieldPosition="0">
        <references count="1">
          <reference field="4294967294" count="1" selected="0">
            <x v="1"/>
          </reference>
        </references>
      </pivotArea>
    </format>
  </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Salary"/>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dia_Staff]"/>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E837CC4-AD74-4581-B0F7-84FB9413B463}" name="PivotTable3" cacheId="16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B1:C14" firstHeaderRow="1" firstDataRow="1" firstDataCol="1"/>
  <pivotFields count="3">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xis="axisRow" allDrilled="1" subtotalTop="0" showAll="0" dataSourceSort="1" defaultSubtotal="0">
      <items count="4">
        <item x="0"/>
        <item x="1" e="0"/>
        <item x="2" e="0"/>
        <item x="3" e="0"/>
      </items>
    </pivotField>
  </pivotFields>
  <rowFields count="2">
    <field x="2"/>
    <field x="1"/>
  </rowFields>
  <rowItems count="13">
    <i>
      <x/>
    </i>
    <i r="1">
      <x/>
    </i>
    <i r="1">
      <x v="1"/>
    </i>
    <i r="1">
      <x v="2"/>
    </i>
    <i r="1">
      <x v="3"/>
    </i>
    <i r="1">
      <x v="4"/>
    </i>
    <i r="1">
      <x v="5"/>
    </i>
    <i r="1">
      <x v="6"/>
    </i>
    <i r="1">
      <x v="7"/>
    </i>
    <i>
      <x v="1"/>
    </i>
    <i>
      <x v="2"/>
    </i>
    <i>
      <x v="3"/>
    </i>
    <i t="grand">
      <x/>
    </i>
  </rowItems>
  <colItems count="1">
    <i/>
  </colItems>
  <dataFields count="1">
    <dataField name="Count of Name" fld="0"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6"/>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dia_Staff]"/>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85D3FF3-7F4F-4B45-977F-46E38F9D60E4}" name="PivotTable6" cacheId="36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
  <location ref="H3:I9" firstHeaderRow="1" firstDataRow="1" firstDataCol="1" rowPageCount="1" colPageCount="1"/>
  <pivotFields count="3">
    <pivotField dataField="1" subtotalTop="0" showAll="0" defaultSubtotal="0"/>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Page" allDrilled="1" subtotalTop="0" showAll="0" dataSourceSort="1" defaultSubtotal="0" defaultAttributeDrillState="1"/>
  </pivotFields>
  <rowFields count="1">
    <field x="1"/>
  </rowFields>
  <rowItems count="6">
    <i>
      <x v="2"/>
    </i>
    <i>
      <x v="4"/>
    </i>
    <i>
      <x/>
    </i>
    <i>
      <x v="3"/>
    </i>
    <i>
      <x v="1"/>
    </i>
    <i t="grand">
      <x/>
    </i>
  </rowItems>
  <colItems count="1">
    <i/>
  </colItems>
  <pageFields count="1">
    <pageField fld="2" hier="7" name="[All_Staff].[Country].[All]" cap="All"/>
  </pageFields>
  <dataFields count="1">
    <dataField name="Count of Name" fld="0" subtotal="count" baseField="0" baseItem="0"/>
  </dataFields>
  <chartFormats count="1">
    <chartFormat chart="2" format="2" series="1">
      <pivotArea type="data" outline="0" fieldPosition="0">
        <references count="1">
          <reference field="4294967294" count="1" selected="0">
            <x v="0"/>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dia_Staff]"/>
        <x15:activeTabTopLevelEntity name="[All_Staff]"/>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E247623-137D-4978-9B9E-993BCF884709}" name="PivotTable5" cacheId="35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E3:F9" firstHeaderRow="1" firstDataRow="1" firstDataCol="1" rowPageCount="1" colPageCount="1"/>
  <pivotFields count="3">
    <pivotField dataField="1" subtotalTop="0" showAll="0" defaultSubtotal="0"/>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Page" allDrilled="1" subtotalTop="0" showAll="0" dataSourceSort="1" defaultSubtotal="0" defaultAttributeDrillState="1"/>
  </pivotFields>
  <rowFields count="1">
    <field x="1"/>
  </rowFields>
  <rowItems count="6">
    <i>
      <x v="2"/>
    </i>
    <i>
      <x v="4"/>
    </i>
    <i>
      <x/>
    </i>
    <i>
      <x v="3"/>
    </i>
    <i>
      <x v="1"/>
    </i>
    <i t="grand">
      <x/>
    </i>
  </rowItems>
  <colItems count="1">
    <i/>
  </colItems>
  <pageFields count="1">
    <pageField fld="2" hier="7" name="[All_Staff].[Country].[All]" cap="All"/>
  </pageFields>
  <dataFields count="1">
    <dataField name="Count of Name" fld="0" subtotal="count" baseField="0" baseItem="0"/>
  </dataFields>
  <chartFormats count="1">
    <chartFormat chart="4" format="2" series="1">
      <pivotArea type="data" outline="0" fieldPosition="0">
        <references count="1">
          <reference field="4294967294" count="1" selected="0">
            <x v="0"/>
          </reference>
        </references>
      </pivotArea>
    </chartFormat>
  </chartFormats>
  <pivotHierarchies count="32">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dia_Staff]"/>
        <x15:activeTabTopLevelEntity name="[All_Staff]"/>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DF35255-CE6A-441C-B89B-68F1694367CD}" name="PivotTable4" cacheId="20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B3:C9" firstHeaderRow="1" firstDataRow="1" firstDataCol="1" rowPageCount="1" colPageCount="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xis="axisPage" allDrilled="1" subtotalTop="0" showAll="0" dataSourceSort="1" defaultSubtotal="0" defaultAttributeDrillState="1"/>
  </pivotFields>
  <rowFields count="1">
    <field x="1"/>
  </rowFields>
  <rowItems count="6">
    <i>
      <x/>
    </i>
    <i>
      <x v="1"/>
    </i>
    <i>
      <x v="2"/>
    </i>
    <i>
      <x v="3"/>
    </i>
    <i>
      <x v="4"/>
    </i>
    <i t="grand">
      <x/>
    </i>
  </rowItems>
  <colItems count="1">
    <i/>
  </colItems>
  <pageFields count="1">
    <pageField fld="2" hier="7" name="[All_Staff].[Country].[All]" cap="All"/>
  </pageFields>
  <dataFields count="1">
    <dataField name="Count of Name" fld="0" subtotal="count" baseField="0" baseItem="0"/>
  </dataField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dia_Staff]"/>
        <x15:activeTabTopLevelEntity name="[All_Staff]"/>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31099EC-8003-4DF4-9401-EB558B8B2C77}" autoFormatId="16" applyNumberFormats="0" applyBorderFormats="0" applyFontFormats="0" applyPatternFormats="0" applyAlignmentFormats="0" applyWidthHeightFormats="0">
  <queryTableRefresh nextId="12" unboundColumnsRight="3">
    <queryTableFields count="11">
      <queryTableField id="1" name="Name" tableColumnId="1"/>
      <queryTableField id="2" name="Gender" tableColumnId="2"/>
      <queryTableField id="3" name="Age" tableColumnId="3"/>
      <queryTableField id="4" name="Rating" tableColumnId="4"/>
      <queryTableField id="5" name="Date Joined" tableColumnId="5"/>
      <queryTableField id="6" name="Department" tableColumnId="6"/>
      <queryTableField id="7" name="Salary" tableColumnId="7"/>
      <queryTableField id="8" name="Country" tableColumnId="8"/>
      <queryTableField id="9" dataBound="0" tableColumnId="9"/>
      <queryTableField id="10" dataBound="0" tableColumnId="10"/>
      <queryTableField id="11" dataBound="0"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84882AC2-AED7-45AB-BCFF-1ED439505767}" sourceName="[All_Staff].[Country]">
  <pivotTables>
    <pivotTable tabId="5" name="PivotTable1"/>
  </pivotTables>
  <data>
    <olap pivotCacheId="1151705379">
      <levels count="2">
        <level uniqueName="[All_Staff].[Country].[(All)]" sourceCaption="(All)" count="0"/>
        <level uniqueName="[All_Staff].[Country].[Country]" sourceCaption="Country" count="2">
          <ranges>
            <range startItem="0">
              <i n="[All_Staff].[Country].&amp;[IND]" c="IND"/>
              <i n="[All_Staff].[Country].&amp;[NZ]" c="NZ"/>
            </range>
          </ranges>
        </level>
      </levels>
      <selections count="1">
        <selection n="[All_Staff].[Count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3AC15178-0A5E-494E-BE09-A048B1ED8651}" sourceName="[All_Staff].[Country]">
  <pivotTables>
    <pivotTable tabId="10" name="PivotTable5"/>
    <pivotTable tabId="10" name="PivotTable6"/>
  </pivotTables>
  <data>
    <olap pivotCacheId="1188754547">
      <levels count="2">
        <level uniqueName="[All_Staff].[Country].[(All)]" sourceCaption="(All)" count="0"/>
        <level uniqueName="[All_Staff].[Country].[Country]" sourceCaption="Country" count="2">
          <ranges>
            <range startItem="0">
              <i n="[All_Staff].[Country].&amp;[IND]" c="IND"/>
              <i n="[All_Staff].[Country].&amp;[NZ]" c="NZ"/>
            </range>
          </ranges>
        </level>
      </levels>
      <selections count="1">
        <selection n="[All_Staff].[Count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DDADFDC1-0813-4DB0-8BE5-C8FEA5825B19}" sourceName="[All_Staff].[Department]">
  <pivotTables>
    <pivotTable tabId="10" name="PivotTable5"/>
  </pivotTables>
  <data>
    <olap pivotCacheId="1188754547">
      <levels count="2">
        <level uniqueName="[All_Staff].[Department].[(All)]" sourceCaption="(All)" count="0"/>
        <level uniqueName="[All_Staff].[Department].[Department]" sourceCaption="Department" count="5">
          <ranges>
            <range startItem="0">
              <i n="[All_Staff].[Department].&amp;[Finance]" c="Finance"/>
              <i n="[All_Staff].[Department].&amp;[HR]" c="HR"/>
              <i n="[All_Staff].[Department].&amp;[Procurement]" c="Procurement"/>
              <i n="[All_Staff].[Department].&amp;[Sales]" c="Sales"/>
              <i n="[All_Staff].[Department].&amp;[Website]" c="Website"/>
            </range>
          </ranges>
        </level>
      </levels>
      <selections count="1">
        <selection n="[All_Staff].[Departmen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61571013-475A-4EC1-98DD-6827DD79F867}" cache="Slicer_Country" caption="Country"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55EACCE8-5B0C-4E11-BDD0-A8C4C8748F1C}" cache="Slicer_Country1" caption="Country" level="1" style="SlicerStyleLight2" rowHeight="234950"/>
  <slicer name="Department" xr10:uid="{4ACA4B34-617E-4D1C-9C5B-EA894A773FC0}" cache="Slicer_Department" caption="Department" level="1" style="SlicerStyleLight2" rowHeight="234950"/>
</slicers>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D0F4DE6-60FC-45C2-B211-EC8A6567EBB2}" name="Nz_Staff" displayName="Nz_Staff" ref="C5:I106" totalsRowCount="1">
  <autoFilter ref="C5:I105" xr:uid="{9D0F4DE6-60FC-45C2-B211-EC8A6567EBB2}"/>
  <tableColumns count="7">
    <tableColumn id="1" xr3:uid="{FEB143A9-49B7-40BC-B507-129269AA7607}" name="Name" totalsRowLabel="Total"/>
    <tableColumn id="2" xr3:uid="{0484591C-C3C1-401D-8A6E-E30D96DEC957}" name="Gender"/>
    <tableColumn id="3" xr3:uid="{BAC51EA8-A9CA-4A80-9D39-FA8FF4E3C89B}" name="Department"/>
    <tableColumn id="4" xr3:uid="{8AC35B0F-36A7-4567-B0F8-D8F8D0E2A68B}" name="Age" totalsRowFunction="average"/>
    <tableColumn id="5" xr3:uid="{645EAFDC-C450-4E3A-A247-58A116F516A9}" name="Date Joined"/>
    <tableColumn id="6" xr3:uid="{3A5834DF-97B0-4A57-9305-5A406F1330B0}" name="Salary" totalsRowFunction="sum" dataDxfId="17"/>
    <tableColumn id="7" xr3:uid="{4F67EBAC-B2E9-4D48-A52A-A27A30A0537E}" name="Rating" totalsRowFunction="coun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9C3CCCC-672B-4AA2-B7E8-F05F78509FCF}" name="India_Staff" displayName="India_Staff" ref="B2:H114" totalsRowShown="0">
  <autoFilter ref="B2:H114" xr:uid="{99C3CCCC-672B-4AA2-B7E8-F05F78509FCF}"/>
  <tableColumns count="7">
    <tableColumn id="1" xr3:uid="{423B8F42-B5C6-415B-B41D-231FAECF4141}" name="Name"/>
    <tableColumn id="2" xr3:uid="{44940ADF-39E5-49F7-849B-DFB5259265FB}" name="Gender"/>
    <tableColumn id="3" xr3:uid="{421F7B9A-A2E1-43C6-B93A-1C63D5891CD8}" name="Age"/>
    <tableColumn id="4" xr3:uid="{EBA1451C-71EA-45E4-A830-193755E8FC18}" name="Rating"/>
    <tableColumn id="5" xr3:uid="{E0BD93FF-6D1C-47CF-915C-96D8E831B71E}" name="Date Joined" dataDxfId="18"/>
    <tableColumn id="6" xr3:uid="{C1CF5AF4-90E3-4A2F-880F-D5B5BBA3A83F}" name="Department"/>
    <tableColumn id="7" xr3:uid="{9D73973A-DDC3-4CFF-99C6-41DB562265F1}" name="Salary"/>
  </tableColumns>
  <tableStyleInfo name="TableStyleLight10"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89FCF63-7829-4686-A6A8-3283AB362A35}" name="All_Staff" displayName="All_Staff" ref="A1:K185" tableType="queryTable" totalsRowCount="1">
  <autoFilter ref="A1:K184" xr:uid="{E89FCF63-7829-4686-A6A8-3283AB362A35}"/>
  <sortState xmlns:xlrd2="http://schemas.microsoft.com/office/spreadsheetml/2017/richdata2" ref="A2:J184">
    <sortCondition sortBy="cellColor" ref="G1:G184" dxfId="12"/>
  </sortState>
  <tableColumns count="11">
    <tableColumn id="1" xr3:uid="{DD715773-CE77-45D8-9C99-9F96E251ED57}" uniqueName="1" name="Name" totalsRowLabel="Total" queryTableFieldId="1" dataDxfId="11"/>
    <tableColumn id="2" xr3:uid="{56438552-2D29-4FF3-8508-65422FA6DD13}" uniqueName="2" name="Gender" queryTableFieldId="2" dataDxfId="10"/>
    <tableColumn id="3" xr3:uid="{5F35A932-6EFA-4AE6-BED6-D05C8FBE32E0}" uniqueName="3" name="Age" totalsRowFunction="average" queryTableFieldId="3"/>
    <tableColumn id="4" xr3:uid="{7F8DAB8B-CEA9-4AFF-8E78-B8D5CDB431F5}" uniqueName="4" name="Rating" queryTableFieldId="4"/>
    <tableColumn id="5" xr3:uid="{C21BAA21-FA36-4BCC-BC12-F7F05AE058C6}" uniqueName="5" name="Date Joined" queryTableFieldId="5" dataDxfId="9"/>
    <tableColumn id="6" xr3:uid="{04693184-2370-4E06-BC97-F505689FDAA3}" uniqueName="6" name="Department" queryTableFieldId="6" dataDxfId="8"/>
    <tableColumn id="7" xr3:uid="{447C5C05-AD5A-46A6-9FB8-E8BB0D17BF7D}" uniqueName="7" name="Salary" totalsRowFunction="max" queryTableFieldId="7" dataDxfId="7" totalsRowDxfId="5"/>
    <tableColumn id="8" xr3:uid="{36834B54-5D49-4A6C-B7B9-D666D0F4E458}" uniqueName="8" name="Country" queryTableFieldId="8"/>
    <tableColumn id="9" xr3:uid="{B0003524-212D-44AA-AF15-6A3ED74117FB}" uniqueName="9" name="Tenure" totalsRowFunction="average" queryTableFieldId="9" dataDxfId="6" totalsRowDxfId="4">
      <calculatedColumnFormula>(TODAY()-All_Staff[[#This Row],[Date Joined]])/365</calculatedColumnFormula>
    </tableColumn>
    <tableColumn id="10" xr3:uid="{E19A57E7-1993-4037-B783-A4E7B59F8C3F}" uniqueName="10" name="Bonus" totalsRowFunction="sum" queryTableFieldId="10" dataDxfId="2" totalsRowDxfId="3">
      <calculatedColumnFormula>ROUNDUP(IF(All_Staff[[#This Row],[Salary]]&gt;2,3%,2%)*All_Staff[[#This Row],[Salary]],0)</calculatedColumnFormula>
    </tableColumn>
    <tableColumn id="11" xr3:uid="{8ECC50B2-4A32-4338-8A97-3213CEE6AF93}" uniqueName="11" name="Rating_Count" queryTableFieldId="11" dataDxfId="1">
      <calculatedColumnFormula>_xlfn.XLOOKUP(All_Staff[[#This Row],[Rating]],'Salary Vs Rating'!$E$2:$E$6,'Salary Vs Rating'!$F$2:$F$6)</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82796-6443-4558-9B87-909B73329DFC}">
  <sheetPr>
    <tabColor theme="4" tint="-0.249977111117893"/>
  </sheetPr>
  <dimension ref="A1:I106"/>
  <sheetViews>
    <sheetView showGridLines="0" tabSelected="1" zoomScale="70" zoomScaleNormal="70" workbookViewId="0">
      <selection activeCell="Q23" sqref="Q23"/>
    </sheetView>
  </sheetViews>
  <sheetFormatPr defaultRowHeight="14.4" x14ac:dyDescent="0.3"/>
  <cols>
    <col min="1" max="1" width="1.6640625" customWidth="1"/>
    <col min="2" max="2" width="3.6640625" customWidth="1"/>
    <col min="3" max="3" width="36.109375" bestFit="1" customWidth="1"/>
    <col min="4" max="4" width="10.77734375" bestFit="1" customWidth="1"/>
    <col min="5" max="5" width="15" bestFit="1" customWidth="1"/>
    <col min="6" max="6" width="7.5546875" bestFit="1" customWidth="1"/>
    <col min="7" max="7" width="14.44140625" bestFit="1" customWidth="1"/>
    <col min="8" max="8" width="14.21875" bestFit="1" customWidth="1"/>
    <col min="9" max="9" width="13.5546875" bestFit="1" customWidth="1"/>
  </cols>
  <sheetData>
    <row r="1" spans="1:9" s="2" customFormat="1" ht="52.5" customHeight="1" x14ac:dyDescent="0.3">
      <c r="A1" s="1"/>
      <c r="C1" s="3" t="s">
        <v>110</v>
      </c>
    </row>
    <row r="5" spans="1:9" x14ac:dyDescent="0.3">
      <c r="C5" t="s">
        <v>0</v>
      </c>
      <c r="D5" t="s">
        <v>1</v>
      </c>
      <c r="E5" t="s">
        <v>2</v>
      </c>
      <c r="F5" t="s">
        <v>3</v>
      </c>
      <c r="G5" s="4" t="s">
        <v>4</v>
      </c>
      <c r="H5" t="s">
        <v>5</v>
      </c>
      <c r="I5" t="s">
        <v>6</v>
      </c>
    </row>
    <row r="6" spans="1:9" x14ac:dyDescent="0.3">
      <c r="C6" t="s">
        <v>58</v>
      </c>
      <c r="D6" t="s">
        <v>15</v>
      </c>
      <c r="E6" t="s">
        <v>19</v>
      </c>
      <c r="F6">
        <v>22</v>
      </c>
      <c r="G6" s="4">
        <v>44446</v>
      </c>
      <c r="H6" s="5">
        <v>112780</v>
      </c>
      <c r="I6" t="s">
        <v>13</v>
      </c>
    </row>
    <row r="7" spans="1:9" x14ac:dyDescent="0.3">
      <c r="C7" t="s">
        <v>70</v>
      </c>
      <c r="D7" t="s">
        <v>15</v>
      </c>
      <c r="E7" t="s">
        <v>9</v>
      </c>
      <c r="F7">
        <v>46</v>
      </c>
      <c r="G7" s="4">
        <v>44758</v>
      </c>
      <c r="H7" s="5">
        <v>70610</v>
      </c>
      <c r="I7" t="s">
        <v>16</v>
      </c>
    </row>
    <row r="8" spans="1:9" x14ac:dyDescent="0.3">
      <c r="C8" t="s">
        <v>75</v>
      </c>
      <c r="D8" t="s">
        <v>8</v>
      </c>
      <c r="E8" t="s">
        <v>19</v>
      </c>
      <c r="F8">
        <v>28</v>
      </c>
      <c r="G8" s="4">
        <v>44357</v>
      </c>
      <c r="H8" s="5">
        <v>53240</v>
      </c>
      <c r="I8" t="s">
        <v>16</v>
      </c>
    </row>
    <row r="9" spans="1:9" x14ac:dyDescent="0.3">
      <c r="C9" t="s">
        <v>49</v>
      </c>
      <c r="E9" t="s">
        <v>21</v>
      </c>
      <c r="F9">
        <v>37</v>
      </c>
      <c r="G9" s="4">
        <v>44146</v>
      </c>
      <c r="H9" s="5">
        <v>115440</v>
      </c>
      <c r="I9" t="s">
        <v>24</v>
      </c>
    </row>
    <row r="10" spans="1:9" x14ac:dyDescent="0.3">
      <c r="C10" t="s">
        <v>65</v>
      </c>
      <c r="D10" t="s">
        <v>15</v>
      </c>
      <c r="E10" t="s">
        <v>19</v>
      </c>
      <c r="F10">
        <v>32</v>
      </c>
      <c r="G10" s="4">
        <v>44465</v>
      </c>
      <c r="H10" s="5">
        <v>53540</v>
      </c>
      <c r="I10" t="s">
        <v>16</v>
      </c>
    </row>
    <row r="11" spans="1:9" x14ac:dyDescent="0.3">
      <c r="C11" t="s">
        <v>81</v>
      </c>
      <c r="D11" t="s">
        <v>8</v>
      </c>
      <c r="E11" t="s">
        <v>9</v>
      </c>
      <c r="F11">
        <v>30</v>
      </c>
      <c r="G11" s="4">
        <v>44861</v>
      </c>
      <c r="H11" s="5">
        <v>112570</v>
      </c>
      <c r="I11" t="s">
        <v>16</v>
      </c>
    </row>
    <row r="12" spans="1:9" x14ac:dyDescent="0.3">
      <c r="C12" t="s">
        <v>51</v>
      </c>
      <c r="D12" t="s">
        <v>15</v>
      </c>
      <c r="E12" t="s">
        <v>9</v>
      </c>
      <c r="F12">
        <v>33</v>
      </c>
      <c r="G12" s="4">
        <v>44701</v>
      </c>
      <c r="H12" s="5">
        <v>48530</v>
      </c>
      <c r="I12" t="s">
        <v>13</v>
      </c>
    </row>
    <row r="13" spans="1:9" x14ac:dyDescent="0.3">
      <c r="C13" t="s">
        <v>61</v>
      </c>
      <c r="D13" t="s">
        <v>8</v>
      </c>
      <c r="E13" t="s">
        <v>12</v>
      </c>
      <c r="F13">
        <v>24</v>
      </c>
      <c r="G13" s="4">
        <v>44148</v>
      </c>
      <c r="H13" s="5">
        <v>62780</v>
      </c>
      <c r="I13" t="s">
        <v>16</v>
      </c>
    </row>
    <row r="14" spans="1:9" x14ac:dyDescent="0.3">
      <c r="C14" t="s">
        <v>82</v>
      </c>
      <c r="D14" t="s">
        <v>15</v>
      </c>
      <c r="E14" t="s">
        <v>12</v>
      </c>
      <c r="F14">
        <v>33</v>
      </c>
      <c r="G14" s="4">
        <v>44509</v>
      </c>
      <c r="H14" s="5">
        <v>53870</v>
      </c>
      <c r="I14" t="s">
        <v>16</v>
      </c>
    </row>
    <row r="15" spans="1:9" x14ac:dyDescent="0.3">
      <c r="C15" t="s">
        <v>60</v>
      </c>
      <c r="D15" t="s">
        <v>8</v>
      </c>
      <c r="E15" t="s">
        <v>56</v>
      </c>
      <c r="F15">
        <v>27</v>
      </c>
      <c r="G15" s="4">
        <v>44122</v>
      </c>
      <c r="H15" s="5">
        <v>119110</v>
      </c>
      <c r="I15" t="s">
        <v>16</v>
      </c>
    </row>
    <row r="16" spans="1:9" x14ac:dyDescent="0.3">
      <c r="C16" t="s">
        <v>87</v>
      </c>
      <c r="D16" t="s">
        <v>15</v>
      </c>
      <c r="E16" t="s">
        <v>12</v>
      </c>
      <c r="F16">
        <v>29</v>
      </c>
      <c r="G16" s="4">
        <v>44180</v>
      </c>
      <c r="H16" s="5">
        <v>112110</v>
      </c>
      <c r="I16" t="s">
        <v>24</v>
      </c>
    </row>
    <row r="17" spans="3:9" x14ac:dyDescent="0.3">
      <c r="C17" t="s">
        <v>76</v>
      </c>
      <c r="D17" t="s">
        <v>15</v>
      </c>
      <c r="E17" t="s">
        <v>19</v>
      </c>
      <c r="F17">
        <v>25</v>
      </c>
      <c r="G17" s="4">
        <v>44383</v>
      </c>
      <c r="H17" s="5">
        <v>65700</v>
      </c>
      <c r="I17" t="s">
        <v>16</v>
      </c>
    </row>
    <row r="18" spans="3:9" x14ac:dyDescent="0.3">
      <c r="C18" t="s">
        <v>97</v>
      </c>
      <c r="D18" t="s">
        <v>15</v>
      </c>
      <c r="E18" t="s">
        <v>12</v>
      </c>
      <c r="F18">
        <v>37</v>
      </c>
      <c r="G18" s="4">
        <v>44701</v>
      </c>
      <c r="H18" s="5">
        <v>69070</v>
      </c>
      <c r="I18" t="s">
        <v>16</v>
      </c>
    </row>
    <row r="19" spans="3:9" x14ac:dyDescent="0.3">
      <c r="C19" t="s">
        <v>22</v>
      </c>
      <c r="D19" t="s">
        <v>15</v>
      </c>
      <c r="E19" t="s">
        <v>12</v>
      </c>
      <c r="F19">
        <v>20</v>
      </c>
      <c r="G19" s="4">
        <v>44459</v>
      </c>
      <c r="H19" s="5">
        <v>107700</v>
      </c>
      <c r="I19" t="s">
        <v>16</v>
      </c>
    </row>
    <row r="20" spans="3:9" x14ac:dyDescent="0.3">
      <c r="C20" t="s">
        <v>84</v>
      </c>
      <c r="D20" t="s">
        <v>8</v>
      </c>
      <c r="E20" t="s">
        <v>12</v>
      </c>
      <c r="F20">
        <v>32</v>
      </c>
      <c r="G20" s="4">
        <v>44354</v>
      </c>
      <c r="H20" s="5">
        <v>43840</v>
      </c>
      <c r="I20" t="s">
        <v>13</v>
      </c>
    </row>
    <row r="21" spans="3:9" x14ac:dyDescent="0.3">
      <c r="C21" t="s">
        <v>105</v>
      </c>
      <c r="D21" t="s">
        <v>15</v>
      </c>
      <c r="E21" t="s">
        <v>9</v>
      </c>
      <c r="F21">
        <v>40</v>
      </c>
      <c r="G21" s="4">
        <v>44263</v>
      </c>
      <c r="H21" s="5">
        <v>99750</v>
      </c>
      <c r="I21" t="s">
        <v>16</v>
      </c>
    </row>
    <row r="22" spans="3:9" x14ac:dyDescent="0.3">
      <c r="C22" t="s">
        <v>47</v>
      </c>
      <c r="D22" t="s">
        <v>15</v>
      </c>
      <c r="E22" t="s">
        <v>9</v>
      </c>
      <c r="F22">
        <v>21</v>
      </c>
      <c r="G22" s="4">
        <v>44104</v>
      </c>
      <c r="H22" s="5">
        <v>37920</v>
      </c>
      <c r="I22" t="s">
        <v>16</v>
      </c>
    </row>
    <row r="23" spans="3:9" x14ac:dyDescent="0.3">
      <c r="C23" t="s">
        <v>31</v>
      </c>
      <c r="D23" t="s">
        <v>15</v>
      </c>
      <c r="E23" t="s">
        <v>9</v>
      </c>
      <c r="F23">
        <v>21</v>
      </c>
      <c r="G23" s="4">
        <v>44762</v>
      </c>
      <c r="H23" s="5">
        <v>57090</v>
      </c>
      <c r="I23" t="s">
        <v>16</v>
      </c>
    </row>
    <row r="24" spans="3:9" x14ac:dyDescent="0.3">
      <c r="C24" t="s">
        <v>30</v>
      </c>
      <c r="D24" t="s">
        <v>8</v>
      </c>
      <c r="E24" t="s">
        <v>12</v>
      </c>
      <c r="F24">
        <v>31</v>
      </c>
      <c r="G24" s="4">
        <v>44145</v>
      </c>
      <c r="H24" s="5">
        <v>41980</v>
      </c>
      <c r="I24" t="s">
        <v>16</v>
      </c>
    </row>
    <row r="25" spans="3:9" x14ac:dyDescent="0.3">
      <c r="C25" t="s">
        <v>78</v>
      </c>
      <c r="D25" t="s">
        <v>15</v>
      </c>
      <c r="E25" t="s">
        <v>56</v>
      </c>
      <c r="F25">
        <v>21</v>
      </c>
      <c r="G25" s="4">
        <v>44242</v>
      </c>
      <c r="H25" s="5">
        <v>75880</v>
      </c>
      <c r="I25" t="s">
        <v>16</v>
      </c>
    </row>
    <row r="26" spans="3:9" x14ac:dyDescent="0.3">
      <c r="C26" t="s">
        <v>36</v>
      </c>
      <c r="D26" t="s">
        <v>8</v>
      </c>
      <c r="E26" t="s">
        <v>21</v>
      </c>
      <c r="F26">
        <v>34</v>
      </c>
      <c r="G26" s="4">
        <v>44653</v>
      </c>
      <c r="H26" s="5">
        <v>58940</v>
      </c>
      <c r="I26" t="s">
        <v>16</v>
      </c>
    </row>
    <row r="27" spans="3:9" x14ac:dyDescent="0.3">
      <c r="C27" t="s">
        <v>27</v>
      </c>
      <c r="D27" t="s">
        <v>8</v>
      </c>
      <c r="E27" t="s">
        <v>21</v>
      </c>
      <c r="F27">
        <v>30</v>
      </c>
      <c r="G27" s="4">
        <v>44389</v>
      </c>
      <c r="H27" s="5">
        <v>67910</v>
      </c>
      <c r="I27" t="s">
        <v>24</v>
      </c>
    </row>
    <row r="28" spans="3:9" x14ac:dyDescent="0.3">
      <c r="C28" t="s">
        <v>26</v>
      </c>
      <c r="D28" t="s">
        <v>8</v>
      </c>
      <c r="E28" t="s">
        <v>12</v>
      </c>
      <c r="F28">
        <v>31</v>
      </c>
      <c r="G28" s="4">
        <v>44663</v>
      </c>
      <c r="H28" s="5">
        <v>58100</v>
      </c>
      <c r="I28" t="s">
        <v>16</v>
      </c>
    </row>
    <row r="29" spans="3:9" x14ac:dyDescent="0.3">
      <c r="C29" t="s">
        <v>53</v>
      </c>
      <c r="D29" t="s">
        <v>15</v>
      </c>
      <c r="E29" t="s">
        <v>21</v>
      </c>
      <c r="F29">
        <v>27</v>
      </c>
      <c r="G29" s="4">
        <v>44567</v>
      </c>
      <c r="H29" s="5">
        <v>48980</v>
      </c>
      <c r="I29" t="s">
        <v>16</v>
      </c>
    </row>
    <row r="30" spans="3:9" x14ac:dyDescent="0.3">
      <c r="C30" t="s">
        <v>20</v>
      </c>
      <c r="E30" t="s">
        <v>21</v>
      </c>
      <c r="F30">
        <v>30</v>
      </c>
      <c r="G30" s="4">
        <v>44597</v>
      </c>
      <c r="H30" s="5">
        <v>64000</v>
      </c>
      <c r="I30" t="s">
        <v>16</v>
      </c>
    </row>
    <row r="31" spans="3:9" x14ac:dyDescent="0.3">
      <c r="C31" t="s">
        <v>7</v>
      </c>
      <c r="D31" t="s">
        <v>8</v>
      </c>
      <c r="E31" t="s">
        <v>9</v>
      </c>
      <c r="F31">
        <v>42</v>
      </c>
      <c r="G31" s="4">
        <v>44779</v>
      </c>
      <c r="H31" s="5">
        <v>75000</v>
      </c>
      <c r="I31" t="s">
        <v>10</v>
      </c>
    </row>
    <row r="32" spans="3:9" x14ac:dyDescent="0.3">
      <c r="C32" t="s">
        <v>74</v>
      </c>
      <c r="D32" t="s">
        <v>8</v>
      </c>
      <c r="E32" t="s">
        <v>12</v>
      </c>
      <c r="F32">
        <v>40</v>
      </c>
      <c r="G32" s="4">
        <v>44337</v>
      </c>
      <c r="H32" s="5">
        <v>87620</v>
      </c>
      <c r="I32" t="s">
        <v>16</v>
      </c>
    </row>
    <row r="33" spans="3:9" x14ac:dyDescent="0.3">
      <c r="C33" t="s">
        <v>44</v>
      </c>
      <c r="D33" t="s">
        <v>8</v>
      </c>
      <c r="E33" t="s">
        <v>12</v>
      </c>
      <c r="F33">
        <v>29</v>
      </c>
      <c r="G33" s="4">
        <v>44023</v>
      </c>
      <c r="H33" s="5">
        <v>34980</v>
      </c>
      <c r="I33" t="s">
        <v>16</v>
      </c>
    </row>
    <row r="34" spans="3:9" x14ac:dyDescent="0.3">
      <c r="C34" t="s">
        <v>35</v>
      </c>
      <c r="D34" t="s">
        <v>8</v>
      </c>
      <c r="E34" t="s">
        <v>21</v>
      </c>
      <c r="F34">
        <v>28</v>
      </c>
      <c r="G34" s="4">
        <v>44185</v>
      </c>
      <c r="H34" s="5">
        <v>75970</v>
      </c>
      <c r="I34" t="s">
        <v>16</v>
      </c>
    </row>
    <row r="35" spans="3:9" x14ac:dyDescent="0.3">
      <c r="C35" t="s">
        <v>38</v>
      </c>
      <c r="D35" t="s">
        <v>8</v>
      </c>
      <c r="E35" t="s">
        <v>21</v>
      </c>
      <c r="F35">
        <v>34</v>
      </c>
      <c r="G35" s="4">
        <v>44612</v>
      </c>
      <c r="H35" s="5">
        <v>60130</v>
      </c>
      <c r="I35" t="s">
        <v>16</v>
      </c>
    </row>
    <row r="36" spans="3:9" x14ac:dyDescent="0.3">
      <c r="C36" t="s">
        <v>41</v>
      </c>
      <c r="D36" t="s">
        <v>8</v>
      </c>
      <c r="E36" t="s">
        <v>12</v>
      </c>
      <c r="F36">
        <v>33</v>
      </c>
      <c r="G36" s="4">
        <v>44374</v>
      </c>
      <c r="H36" s="5">
        <v>75480</v>
      </c>
      <c r="I36" t="s">
        <v>42</v>
      </c>
    </row>
    <row r="37" spans="3:9" x14ac:dyDescent="0.3">
      <c r="C37" t="s">
        <v>40</v>
      </c>
      <c r="D37" t="s">
        <v>15</v>
      </c>
      <c r="E37" t="s">
        <v>9</v>
      </c>
      <c r="F37">
        <v>33</v>
      </c>
      <c r="G37" s="4">
        <v>44164</v>
      </c>
      <c r="H37" s="5">
        <v>115920</v>
      </c>
      <c r="I37" t="s">
        <v>16</v>
      </c>
    </row>
    <row r="38" spans="3:9" x14ac:dyDescent="0.3">
      <c r="C38" t="s">
        <v>48</v>
      </c>
      <c r="D38" t="s">
        <v>8</v>
      </c>
      <c r="E38" t="s">
        <v>19</v>
      </c>
      <c r="F38">
        <v>36</v>
      </c>
      <c r="G38" s="4">
        <v>44494</v>
      </c>
      <c r="H38" s="5">
        <v>78540</v>
      </c>
      <c r="I38" t="s">
        <v>16</v>
      </c>
    </row>
    <row r="39" spans="3:9" x14ac:dyDescent="0.3">
      <c r="C39" t="s">
        <v>34</v>
      </c>
      <c r="D39" t="s">
        <v>15</v>
      </c>
      <c r="E39" t="s">
        <v>9</v>
      </c>
      <c r="F39">
        <v>25</v>
      </c>
      <c r="G39" s="4">
        <v>44726</v>
      </c>
      <c r="H39" s="5">
        <v>109190</v>
      </c>
      <c r="I39" t="s">
        <v>13</v>
      </c>
    </row>
    <row r="40" spans="3:9" x14ac:dyDescent="0.3">
      <c r="C40" t="s">
        <v>73</v>
      </c>
      <c r="D40" t="s">
        <v>8</v>
      </c>
      <c r="E40" t="s">
        <v>19</v>
      </c>
      <c r="F40">
        <v>34</v>
      </c>
      <c r="G40" s="4">
        <v>44721</v>
      </c>
      <c r="H40" s="5">
        <v>49630</v>
      </c>
      <c r="I40" t="s">
        <v>24</v>
      </c>
    </row>
    <row r="41" spans="3:9" x14ac:dyDescent="0.3">
      <c r="C41" t="s">
        <v>107</v>
      </c>
      <c r="D41" t="s">
        <v>8</v>
      </c>
      <c r="E41" t="s">
        <v>9</v>
      </c>
      <c r="F41">
        <v>28</v>
      </c>
      <c r="G41" s="4">
        <v>44630</v>
      </c>
      <c r="H41" s="5">
        <v>99970</v>
      </c>
      <c r="I41" t="s">
        <v>16</v>
      </c>
    </row>
    <row r="42" spans="3:9" x14ac:dyDescent="0.3">
      <c r="C42" t="s">
        <v>71</v>
      </c>
      <c r="D42" t="s">
        <v>8</v>
      </c>
      <c r="E42" t="s">
        <v>12</v>
      </c>
      <c r="F42">
        <v>33</v>
      </c>
      <c r="G42" s="4">
        <v>44190</v>
      </c>
      <c r="H42" s="5">
        <v>96140</v>
      </c>
      <c r="I42" t="s">
        <v>16</v>
      </c>
    </row>
    <row r="43" spans="3:9" x14ac:dyDescent="0.3">
      <c r="C43" t="s">
        <v>50</v>
      </c>
      <c r="D43" t="s">
        <v>15</v>
      </c>
      <c r="E43" t="s">
        <v>9</v>
      </c>
      <c r="F43">
        <v>31</v>
      </c>
      <c r="G43" s="4">
        <v>44724</v>
      </c>
      <c r="H43" s="5">
        <v>103550</v>
      </c>
      <c r="I43" t="s">
        <v>16</v>
      </c>
    </row>
    <row r="44" spans="3:9" x14ac:dyDescent="0.3">
      <c r="C44" t="s">
        <v>14</v>
      </c>
      <c r="D44" t="s">
        <v>15</v>
      </c>
      <c r="E44" t="s">
        <v>12</v>
      </c>
      <c r="F44">
        <v>31</v>
      </c>
      <c r="G44" s="4">
        <v>44511</v>
      </c>
      <c r="H44" s="5">
        <v>48950</v>
      </c>
      <c r="I44" t="s">
        <v>16</v>
      </c>
    </row>
    <row r="45" spans="3:9" x14ac:dyDescent="0.3">
      <c r="C45" t="s">
        <v>63</v>
      </c>
      <c r="D45" t="s">
        <v>15</v>
      </c>
      <c r="E45" t="s">
        <v>21</v>
      </c>
      <c r="F45">
        <v>24</v>
      </c>
      <c r="G45" s="4">
        <v>44436</v>
      </c>
      <c r="H45" s="5">
        <v>52610</v>
      </c>
      <c r="I45" t="s">
        <v>24</v>
      </c>
    </row>
    <row r="46" spans="3:9" x14ac:dyDescent="0.3">
      <c r="C46" t="s">
        <v>72</v>
      </c>
      <c r="D46" t="s">
        <v>8</v>
      </c>
      <c r="E46" t="s">
        <v>9</v>
      </c>
      <c r="F46">
        <v>36</v>
      </c>
      <c r="G46" s="4">
        <v>44529</v>
      </c>
      <c r="H46" s="5">
        <v>78390</v>
      </c>
      <c r="I46" t="s">
        <v>16</v>
      </c>
    </row>
    <row r="47" spans="3:9" x14ac:dyDescent="0.3">
      <c r="C47" t="s">
        <v>88</v>
      </c>
      <c r="D47" t="s">
        <v>8</v>
      </c>
      <c r="E47" t="s">
        <v>21</v>
      </c>
      <c r="F47">
        <v>33</v>
      </c>
      <c r="G47" s="4">
        <v>44809</v>
      </c>
      <c r="H47" s="5">
        <v>86570</v>
      </c>
      <c r="I47" t="s">
        <v>16</v>
      </c>
    </row>
    <row r="48" spans="3:9" x14ac:dyDescent="0.3">
      <c r="C48" t="s">
        <v>92</v>
      </c>
      <c r="D48" t="s">
        <v>8</v>
      </c>
      <c r="E48" t="s">
        <v>12</v>
      </c>
      <c r="F48">
        <v>27</v>
      </c>
      <c r="G48" s="4">
        <v>44686</v>
      </c>
      <c r="H48" s="5">
        <v>83750</v>
      </c>
      <c r="I48" t="s">
        <v>16</v>
      </c>
    </row>
    <row r="49" spans="3:9" x14ac:dyDescent="0.3">
      <c r="C49" t="s">
        <v>102</v>
      </c>
      <c r="D49" t="s">
        <v>8</v>
      </c>
      <c r="E49" t="s">
        <v>21</v>
      </c>
      <c r="F49">
        <v>34</v>
      </c>
      <c r="G49" s="4">
        <v>44445</v>
      </c>
      <c r="H49" s="5">
        <v>92450</v>
      </c>
      <c r="I49" t="s">
        <v>16</v>
      </c>
    </row>
    <row r="50" spans="3:9" x14ac:dyDescent="0.3">
      <c r="C50" t="s">
        <v>64</v>
      </c>
      <c r="D50" t="s">
        <v>15</v>
      </c>
      <c r="E50" t="s">
        <v>12</v>
      </c>
      <c r="F50">
        <v>20</v>
      </c>
      <c r="G50" s="4">
        <v>44183</v>
      </c>
      <c r="H50" s="5">
        <v>112650</v>
      </c>
      <c r="I50" t="s">
        <v>16</v>
      </c>
    </row>
    <row r="51" spans="3:9" x14ac:dyDescent="0.3">
      <c r="C51" t="s">
        <v>104</v>
      </c>
      <c r="D51" t="s">
        <v>15</v>
      </c>
      <c r="E51" t="s">
        <v>9</v>
      </c>
      <c r="F51">
        <v>20</v>
      </c>
      <c r="G51" s="4">
        <v>44744</v>
      </c>
      <c r="H51" s="5">
        <v>79570</v>
      </c>
      <c r="I51" t="s">
        <v>16</v>
      </c>
    </row>
    <row r="52" spans="3:9" x14ac:dyDescent="0.3">
      <c r="C52" t="s">
        <v>91</v>
      </c>
      <c r="D52" t="s">
        <v>8</v>
      </c>
      <c r="E52" t="s">
        <v>19</v>
      </c>
      <c r="F52">
        <v>20</v>
      </c>
      <c r="G52" s="4">
        <v>44537</v>
      </c>
      <c r="H52" s="5">
        <v>68900</v>
      </c>
      <c r="I52" t="s">
        <v>24</v>
      </c>
    </row>
    <row r="53" spans="3:9" x14ac:dyDescent="0.3">
      <c r="C53" t="s">
        <v>39</v>
      </c>
      <c r="D53" t="s">
        <v>8</v>
      </c>
      <c r="E53" t="s">
        <v>12</v>
      </c>
      <c r="F53">
        <v>25</v>
      </c>
      <c r="G53" s="4">
        <v>44694</v>
      </c>
      <c r="H53" s="5">
        <v>80700</v>
      </c>
      <c r="I53" t="s">
        <v>13</v>
      </c>
    </row>
    <row r="54" spans="3:9" x14ac:dyDescent="0.3">
      <c r="C54" t="s">
        <v>100</v>
      </c>
      <c r="D54" t="s">
        <v>15</v>
      </c>
      <c r="E54" t="s">
        <v>9</v>
      </c>
      <c r="F54">
        <v>19</v>
      </c>
      <c r="G54" s="4">
        <v>44277</v>
      </c>
      <c r="H54" s="5">
        <v>58960</v>
      </c>
      <c r="I54" t="s">
        <v>16</v>
      </c>
    </row>
    <row r="55" spans="3:9" x14ac:dyDescent="0.3">
      <c r="C55" t="s">
        <v>106</v>
      </c>
      <c r="D55" t="s">
        <v>15</v>
      </c>
      <c r="E55" t="s">
        <v>12</v>
      </c>
      <c r="F55">
        <v>36</v>
      </c>
      <c r="G55" s="4">
        <v>44019</v>
      </c>
      <c r="H55" s="5">
        <v>118840</v>
      </c>
      <c r="I55" t="s">
        <v>16</v>
      </c>
    </row>
    <row r="56" spans="3:9" x14ac:dyDescent="0.3">
      <c r="C56" t="s">
        <v>29</v>
      </c>
      <c r="D56" t="s">
        <v>15</v>
      </c>
      <c r="E56" t="s">
        <v>21</v>
      </c>
      <c r="F56">
        <v>28</v>
      </c>
      <c r="G56" s="4">
        <v>44041</v>
      </c>
      <c r="H56" s="5">
        <v>48170</v>
      </c>
      <c r="I56" t="s">
        <v>13</v>
      </c>
    </row>
    <row r="57" spans="3:9" x14ac:dyDescent="0.3">
      <c r="C57" t="s">
        <v>108</v>
      </c>
      <c r="D57" t="s">
        <v>8</v>
      </c>
      <c r="E57" t="s">
        <v>56</v>
      </c>
      <c r="F57">
        <v>32</v>
      </c>
      <c r="G57" s="4">
        <v>44400</v>
      </c>
      <c r="H57" s="5">
        <v>45510</v>
      </c>
      <c r="I57" t="s">
        <v>16</v>
      </c>
    </row>
    <row r="58" spans="3:9" x14ac:dyDescent="0.3">
      <c r="C58" t="s">
        <v>64</v>
      </c>
      <c r="D58" t="s">
        <v>15</v>
      </c>
      <c r="E58" t="s">
        <v>9</v>
      </c>
      <c r="F58">
        <v>34</v>
      </c>
      <c r="G58" s="4">
        <v>44703</v>
      </c>
      <c r="H58" s="5">
        <v>112650</v>
      </c>
      <c r="I58" t="s">
        <v>16</v>
      </c>
    </row>
    <row r="59" spans="3:9" x14ac:dyDescent="0.3">
      <c r="C59" t="s">
        <v>83</v>
      </c>
      <c r="D59" t="s">
        <v>8</v>
      </c>
      <c r="E59" t="s">
        <v>9</v>
      </c>
      <c r="F59">
        <v>36</v>
      </c>
      <c r="G59" s="4">
        <v>44085</v>
      </c>
      <c r="H59" s="5">
        <v>114890</v>
      </c>
      <c r="I59" t="s">
        <v>16</v>
      </c>
    </row>
    <row r="60" spans="3:9" x14ac:dyDescent="0.3">
      <c r="C60" t="s">
        <v>67</v>
      </c>
      <c r="D60" t="s">
        <v>15</v>
      </c>
      <c r="E60" t="s">
        <v>12</v>
      </c>
      <c r="F60">
        <v>30</v>
      </c>
      <c r="G60" s="4">
        <v>44850</v>
      </c>
      <c r="H60" s="5">
        <v>69710</v>
      </c>
      <c r="I60" t="s">
        <v>16</v>
      </c>
    </row>
    <row r="61" spans="3:9" x14ac:dyDescent="0.3">
      <c r="C61" t="s">
        <v>94</v>
      </c>
      <c r="D61" t="s">
        <v>15</v>
      </c>
      <c r="E61" t="s">
        <v>21</v>
      </c>
      <c r="F61">
        <v>36</v>
      </c>
      <c r="G61" s="4">
        <v>44333</v>
      </c>
      <c r="H61" s="5">
        <v>71380</v>
      </c>
      <c r="I61" t="s">
        <v>16</v>
      </c>
    </row>
    <row r="62" spans="3:9" x14ac:dyDescent="0.3">
      <c r="C62" t="s">
        <v>33</v>
      </c>
      <c r="D62" t="s">
        <v>8</v>
      </c>
      <c r="E62" t="s">
        <v>19</v>
      </c>
      <c r="F62">
        <v>38</v>
      </c>
      <c r="G62" s="4">
        <v>44377</v>
      </c>
      <c r="H62" s="5">
        <v>109160</v>
      </c>
      <c r="I62" t="s">
        <v>10</v>
      </c>
    </row>
    <row r="63" spans="3:9" x14ac:dyDescent="0.3">
      <c r="C63" t="s">
        <v>98</v>
      </c>
      <c r="D63" t="s">
        <v>15</v>
      </c>
      <c r="E63" t="s">
        <v>9</v>
      </c>
      <c r="F63">
        <v>27</v>
      </c>
      <c r="G63" s="4">
        <v>44609</v>
      </c>
      <c r="H63" s="5">
        <v>113280</v>
      </c>
      <c r="I63" t="s">
        <v>42</v>
      </c>
    </row>
    <row r="64" spans="3:9" x14ac:dyDescent="0.3">
      <c r="C64" t="s">
        <v>25</v>
      </c>
      <c r="D64" t="s">
        <v>15</v>
      </c>
      <c r="E64" t="s">
        <v>12</v>
      </c>
      <c r="F64">
        <v>30</v>
      </c>
      <c r="G64" s="4">
        <v>44273</v>
      </c>
      <c r="H64" s="5">
        <v>69120</v>
      </c>
      <c r="I64" t="s">
        <v>16</v>
      </c>
    </row>
    <row r="65" spans="3:9" x14ac:dyDescent="0.3">
      <c r="C65" t="s">
        <v>55</v>
      </c>
      <c r="D65" t="s">
        <v>8</v>
      </c>
      <c r="E65" t="s">
        <v>56</v>
      </c>
      <c r="F65">
        <v>37</v>
      </c>
      <c r="G65" s="4">
        <v>44451</v>
      </c>
      <c r="H65" s="5">
        <v>118100</v>
      </c>
      <c r="I65" t="s">
        <v>16</v>
      </c>
    </row>
    <row r="66" spans="3:9" x14ac:dyDescent="0.3">
      <c r="C66" t="s">
        <v>62</v>
      </c>
      <c r="D66" t="s">
        <v>8</v>
      </c>
      <c r="E66" t="s">
        <v>9</v>
      </c>
      <c r="F66">
        <v>22</v>
      </c>
      <c r="G66" s="4">
        <v>44450</v>
      </c>
      <c r="H66" s="5">
        <v>76900</v>
      </c>
      <c r="I66" t="s">
        <v>13</v>
      </c>
    </row>
    <row r="67" spans="3:9" x14ac:dyDescent="0.3">
      <c r="C67" t="s">
        <v>17</v>
      </c>
      <c r="D67" t="s">
        <v>8</v>
      </c>
      <c r="E67" t="s">
        <v>12</v>
      </c>
      <c r="F67">
        <v>43</v>
      </c>
      <c r="G67" s="4">
        <v>45045</v>
      </c>
      <c r="H67" s="5">
        <v>114870</v>
      </c>
      <c r="I67" t="s">
        <v>16</v>
      </c>
    </row>
    <row r="68" spans="3:9" x14ac:dyDescent="0.3">
      <c r="C68" t="s">
        <v>52</v>
      </c>
      <c r="E68" t="s">
        <v>12</v>
      </c>
      <c r="F68">
        <v>32</v>
      </c>
      <c r="G68" s="4">
        <v>44774</v>
      </c>
      <c r="H68" s="5">
        <v>91310</v>
      </c>
      <c r="I68" t="s">
        <v>16</v>
      </c>
    </row>
    <row r="69" spans="3:9" x14ac:dyDescent="0.3">
      <c r="C69" t="s">
        <v>43</v>
      </c>
      <c r="D69" t="s">
        <v>8</v>
      </c>
      <c r="E69" t="s">
        <v>9</v>
      </c>
      <c r="F69">
        <v>28</v>
      </c>
      <c r="G69" s="4">
        <v>44486</v>
      </c>
      <c r="H69" s="5">
        <v>104770</v>
      </c>
      <c r="I69" t="s">
        <v>16</v>
      </c>
    </row>
    <row r="70" spans="3:9" x14ac:dyDescent="0.3">
      <c r="C70" t="s">
        <v>89</v>
      </c>
      <c r="D70" t="s">
        <v>15</v>
      </c>
      <c r="E70" t="s">
        <v>19</v>
      </c>
      <c r="F70">
        <v>27</v>
      </c>
      <c r="G70" s="4">
        <v>44134</v>
      </c>
      <c r="H70" s="5">
        <v>54970</v>
      </c>
      <c r="I70" t="s">
        <v>16</v>
      </c>
    </row>
    <row r="71" spans="3:9" x14ac:dyDescent="0.3">
      <c r="C71" t="s">
        <v>11</v>
      </c>
      <c r="E71" t="s">
        <v>12</v>
      </c>
      <c r="F71">
        <v>26</v>
      </c>
      <c r="G71" s="4">
        <v>44271</v>
      </c>
      <c r="H71" s="5">
        <v>90700</v>
      </c>
      <c r="I71" t="s">
        <v>13</v>
      </c>
    </row>
    <row r="72" spans="3:9" x14ac:dyDescent="0.3">
      <c r="C72" t="s">
        <v>109</v>
      </c>
      <c r="D72" t="s">
        <v>8</v>
      </c>
      <c r="E72" t="s">
        <v>19</v>
      </c>
      <c r="F72">
        <v>38</v>
      </c>
      <c r="G72" s="4">
        <v>44329</v>
      </c>
      <c r="H72" s="5">
        <v>56870</v>
      </c>
      <c r="I72" t="s">
        <v>13</v>
      </c>
    </row>
    <row r="73" spans="3:9" x14ac:dyDescent="0.3">
      <c r="C73" t="s">
        <v>77</v>
      </c>
      <c r="D73" t="s">
        <v>8</v>
      </c>
      <c r="E73" t="s">
        <v>19</v>
      </c>
      <c r="F73">
        <v>25</v>
      </c>
      <c r="G73" s="4">
        <v>44205</v>
      </c>
      <c r="H73" s="5">
        <v>92700</v>
      </c>
      <c r="I73" t="s">
        <v>16</v>
      </c>
    </row>
    <row r="74" spans="3:9" x14ac:dyDescent="0.3">
      <c r="C74" t="s">
        <v>32</v>
      </c>
      <c r="D74" t="s">
        <v>8</v>
      </c>
      <c r="E74" t="s">
        <v>21</v>
      </c>
      <c r="F74">
        <v>21</v>
      </c>
      <c r="G74" s="4">
        <v>44317</v>
      </c>
      <c r="H74" s="5">
        <v>65920</v>
      </c>
      <c r="I74" t="s">
        <v>16</v>
      </c>
    </row>
    <row r="75" spans="3:9" x14ac:dyDescent="0.3">
      <c r="C75" t="s">
        <v>59</v>
      </c>
      <c r="D75" t="s">
        <v>15</v>
      </c>
      <c r="E75" t="s">
        <v>9</v>
      </c>
      <c r="F75">
        <v>26</v>
      </c>
      <c r="G75" s="4">
        <v>44225</v>
      </c>
      <c r="H75" s="5">
        <v>47360</v>
      </c>
      <c r="I75" t="s">
        <v>16</v>
      </c>
    </row>
    <row r="76" spans="3:9" x14ac:dyDescent="0.3">
      <c r="C76" t="s">
        <v>37</v>
      </c>
      <c r="D76" t="s">
        <v>15</v>
      </c>
      <c r="E76" t="s">
        <v>9</v>
      </c>
      <c r="F76">
        <v>30</v>
      </c>
      <c r="G76" s="4">
        <v>44666</v>
      </c>
      <c r="H76" s="5">
        <v>60570</v>
      </c>
      <c r="I76" t="s">
        <v>16</v>
      </c>
    </row>
    <row r="77" spans="3:9" x14ac:dyDescent="0.3">
      <c r="C77" t="s">
        <v>96</v>
      </c>
      <c r="D77" t="s">
        <v>8</v>
      </c>
      <c r="E77" t="s">
        <v>9</v>
      </c>
      <c r="F77">
        <v>28</v>
      </c>
      <c r="G77" s="4">
        <v>44649</v>
      </c>
      <c r="H77" s="5">
        <v>104120</v>
      </c>
      <c r="I77" t="s">
        <v>16</v>
      </c>
    </row>
    <row r="78" spans="3:9" x14ac:dyDescent="0.3">
      <c r="C78" t="s">
        <v>23</v>
      </c>
      <c r="D78" t="s">
        <v>15</v>
      </c>
      <c r="E78" t="s">
        <v>12</v>
      </c>
      <c r="F78">
        <v>37</v>
      </c>
      <c r="G78" s="4">
        <v>44338</v>
      </c>
      <c r="H78" s="5">
        <v>88050</v>
      </c>
      <c r="I78" t="s">
        <v>24</v>
      </c>
    </row>
    <row r="79" spans="3:9" x14ac:dyDescent="0.3">
      <c r="C79" t="s">
        <v>103</v>
      </c>
      <c r="D79" t="s">
        <v>15</v>
      </c>
      <c r="E79" t="s">
        <v>12</v>
      </c>
      <c r="F79">
        <v>24</v>
      </c>
      <c r="G79" s="4">
        <v>44686</v>
      </c>
      <c r="H79" s="5">
        <v>100420</v>
      </c>
      <c r="I79" t="s">
        <v>16</v>
      </c>
    </row>
    <row r="80" spans="3:9" x14ac:dyDescent="0.3">
      <c r="C80" t="s">
        <v>54</v>
      </c>
      <c r="D80" t="s">
        <v>8</v>
      </c>
      <c r="E80" t="s">
        <v>9</v>
      </c>
      <c r="F80">
        <v>30</v>
      </c>
      <c r="G80" s="4">
        <v>44850</v>
      </c>
      <c r="H80" s="5">
        <v>114180</v>
      </c>
      <c r="I80" t="s">
        <v>16</v>
      </c>
    </row>
    <row r="81" spans="3:9" x14ac:dyDescent="0.3">
      <c r="C81" t="s">
        <v>86</v>
      </c>
      <c r="D81" t="s">
        <v>8</v>
      </c>
      <c r="E81" t="s">
        <v>12</v>
      </c>
      <c r="F81">
        <v>21</v>
      </c>
      <c r="G81" s="4">
        <v>44678</v>
      </c>
      <c r="H81" s="5">
        <v>33920</v>
      </c>
      <c r="I81" t="s">
        <v>16</v>
      </c>
    </row>
    <row r="82" spans="3:9" x14ac:dyDescent="0.3">
      <c r="C82" t="s">
        <v>69</v>
      </c>
      <c r="D82" t="s">
        <v>15</v>
      </c>
      <c r="E82" t="s">
        <v>9</v>
      </c>
      <c r="F82">
        <v>23</v>
      </c>
      <c r="G82" s="4">
        <v>44440</v>
      </c>
      <c r="H82" s="5">
        <v>106460</v>
      </c>
      <c r="I82" t="s">
        <v>16</v>
      </c>
    </row>
    <row r="83" spans="3:9" x14ac:dyDescent="0.3">
      <c r="C83" t="s">
        <v>57</v>
      </c>
      <c r="D83" t="s">
        <v>15</v>
      </c>
      <c r="E83" t="s">
        <v>9</v>
      </c>
      <c r="F83">
        <v>35</v>
      </c>
      <c r="G83" s="4">
        <v>44727</v>
      </c>
      <c r="H83" s="5">
        <v>40400</v>
      </c>
      <c r="I83" t="s">
        <v>16</v>
      </c>
    </row>
    <row r="84" spans="3:9" x14ac:dyDescent="0.3">
      <c r="C84" t="s">
        <v>68</v>
      </c>
      <c r="D84" t="s">
        <v>15</v>
      </c>
      <c r="E84" t="s">
        <v>21</v>
      </c>
      <c r="F84">
        <v>27</v>
      </c>
      <c r="G84" s="4">
        <v>44236</v>
      </c>
      <c r="H84" s="5">
        <v>91650</v>
      </c>
      <c r="I84" t="s">
        <v>13</v>
      </c>
    </row>
    <row r="85" spans="3:9" x14ac:dyDescent="0.3">
      <c r="C85" t="s">
        <v>99</v>
      </c>
      <c r="D85" t="s">
        <v>15</v>
      </c>
      <c r="E85" t="s">
        <v>19</v>
      </c>
      <c r="F85">
        <v>43</v>
      </c>
      <c r="G85" s="4">
        <v>44620</v>
      </c>
      <c r="H85" s="5">
        <v>36040</v>
      </c>
      <c r="I85" t="s">
        <v>16</v>
      </c>
    </row>
    <row r="86" spans="3:9" x14ac:dyDescent="0.3">
      <c r="C86" t="s">
        <v>101</v>
      </c>
      <c r="D86" t="s">
        <v>8</v>
      </c>
      <c r="E86" t="s">
        <v>12</v>
      </c>
      <c r="F86">
        <v>40</v>
      </c>
      <c r="G86" s="4">
        <v>44381</v>
      </c>
      <c r="H86" s="5">
        <v>104410</v>
      </c>
      <c r="I86" t="s">
        <v>16</v>
      </c>
    </row>
    <row r="87" spans="3:9" x14ac:dyDescent="0.3">
      <c r="C87" t="s">
        <v>85</v>
      </c>
      <c r="D87" t="s">
        <v>15</v>
      </c>
      <c r="E87" t="s">
        <v>21</v>
      </c>
      <c r="F87">
        <v>30</v>
      </c>
      <c r="G87" s="4">
        <v>44606</v>
      </c>
      <c r="H87" s="5">
        <v>96800</v>
      </c>
      <c r="I87" t="s">
        <v>16</v>
      </c>
    </row>
    <row r="88" spans="3:9" x14ac:dyDescent="0.3">
      <c r="C88" t="s">
        <v>28</v>
      </c>
      <c r="D88" t="s">
        <v>8</v>
      </c>
      <c r="E88" t="s">
        <v>21</v>
      </c>
      <c r="F88">
        <v>34</v>
      </c>
      <c r="G88" s="4">
        <v>44459</v>
      </c>
      <c r="H88" s="5">
        <v>85000</v>
      </c>
      <c r="I88" t="s">
        <v>16</v>
      </c>
    </row>
    <row r="89" spans="3:9" x14ac:dyDescent="0.3">
      <c r="C89" t="s">
        <v>80</v>
      </c>
      <c r="D89" t="s">
        <v>15</v>
      </c>
      <c r="E89" t="s">
        <v>19</v>
      </c>
      <c r="F89">
        <v>28</v>
      </c>
      <c r="G89" s="4">
        <v>44820</v>
      </c>
      <c r="H89" s="5">
        <v>43510</v>
      </c>
      <c r="I89" t="s">
        <v>42</v>
      </c>
    </row>
    <row r="90" spans="3:9" x14ac:dyDescent="0.3">
      <c r="C90" t="s">
        <v>79</v>
      </c>
      <c r="D90" t="s">
        <v>15</v>
      </c>
      <c r="E90" t="s">
        <v>21</v>
      </c>
      <c r="F90">
        <v>33</v>
      </c>
      <c r="G90" s="4">
        <v>44243</v>
      </c>
      <c r="H90" s="5">
        <v>59430</v>
      </c>
      <c r="I90" t="s">
        <v>16</v>
      </c>
    </row>
    <row r="91" spans="3:9" x14ac:dyDescent="0.3">
      <c r="C91" t="s">
        <v>93</v>
      </c>
      <c r="D91" t="s">
        <v>8</v>
      </c>
      <c r="E91" t="s">
        <v>21</v>
      </c>
      <c r="F91">
        <v>33</v>
      </c>
      <c r="G91" s="4">
        <v>44067</v>
      </c>
      <c r="H91" s="5">
        <v>65360</v>
      </c>
      <c r="I91" t="s">
        <v>16</v>
      </c>
    </row>
    <row r="92" spans="3:9" x14ac:dyDescent="0.3">
      <c r="C92" t="s">
        <v>66</v>
      </c>
      <c r="D92" t="s">
        <v>8</v>
      </c>
      <c r="E92" t="s">
        <v>9</v>
      </c>
      <c r="F92">
        <v>32</v>
      </c>
      <c r="G92" s="4">
        <v>44611</v>
      </c>
      <c r="H92" s="5">
        <v>41570</v>
      </c>
      <c r="I92" t="s">
        <v>16</v>
      </c>
    </row>
    <row r="93" spans="3:9" x14ac:dyDescent="0.3">
      <c r="C93" t="s">
        <v>95</v>
      </c>
      <c r="D93" t="s">
        <v>8</v>
      </c>
      <c r="E93" t="s">
        <v>12</v>
      </c>
      <c r="F93">
        <v>33</v>
      </c>
      <c r="G93" s="4">
        <v>44312</v>
      </c>
      <c r="H93" s="5">
        <v>75280</v>
      </c>
      <c r="I93" t="s">
        <v>16</v>
      </c>
    </row>
    <row r="94" spans="3:9" x14ac:dyDescent="0.3">
      <c r="C94" t="s">
        <v>18</v>
      </c>
      <c r="D94" t="s">
        <v>15</v>
      </c>
      <c r="E94" t="s">
        <v>19</v>
      </c>
      <c r="F94">
        <v>33</v>
      </c>
      <c r="G94" s="4">
        <v>44385</v>
      </c>
      <c r="H94" s="5">
        <v>74550</v>
      </c>
      <c r="I94" t="s">
        <v>16</v>
      </c>
    </row>
    <row r="95" spans="3:9" x14ac:dyDescent="0.3">
      <c r="C95" t="s">
        <v>45</v>
      </c>
      <c r="D95" t="s">
        <v>15</v>
      </c>
      <c r="E95" t="s">
        <v>9</v>
      </c>
      <c r="F95">
        <v>30</v>
      </c>
      <c r="G95" s="4">
        <v>44701</v>
      </c>
      <c r="H95" s="5">
        <v>67950</v>
      </c>
      <c r="I95" t="s">
        <v>16</v>
      </c>
    </row>
    <row r="96" spans="3:9" x14ac:dyDescent="0.3">
      <c r="C96" t="s">
        <v>90</v>
      </c>
      <c r="D96" t="s">
        <v>15</v>
      </c>
      <c r="E96" t="s">
        <v>21</v>
      </c>
      <c r="F96">
        <v>42</v>
      </c>
      <c r="G96" s="4">
        <v>44731</v>
      </c>
      <c r="H96" s="5">
        <v>70270</v>
      </c>
      <c r="I96" t="s">
        <v>24</v>
      </c>
    </row>
    <row r="97" spans="3:9" x14ac:dyDescent="0.3">
      <c r="C97" t="s">
        <v>46</v>
      </c>
      <c r="D97" t="s">
        <v>15</v>
      </c>
      <c r="E97" t="s">
        <v>9</v>
      </c>
      <c r="F97">
        <v>26</v>
      </c>
      <c r="G97" s="4">
        <v>44411</v>
      </c>
      <c r="H97" s="5">
        <v>53540</v>
      </c>
      <c r="I97" t="s">
        <v>16</v>
      </c>
    </row>
    <row r="98" spans="3:9" x14ac:dyDescent="0.3">
      <c r="C98" t="s">
        <v>58</v>
      </c>
      <c r="D98" t="s">
        <v>15</v>
      </c>
      <c r="E98" t="s">
        <v>19</v>
      </c>
      <c r="F98">
        <v>22</v>
      </c>
      <c r="G98" s="4">
        <v>44446</v>
      </c>
      <c r="H98" s="5">
        <v>112780</v>
      </c>
      <c r="I98" t="s">
        <v>13</v>
      </c>
    </row>
    <row r="99" spans="3:9" x14ac:dyDescent="0.3">
      <c r="C99" t="s">
        <v>70</v>
      </c>
      <c r="D99" t="s">
        <v>15</v>
      </c>
      <c r="E99" t="s">
        <v>9</v>
      </c>
      <c r="F99">
        <v>46</v>
      </c>
      <c r="G99" s="4">
        <v>44758</v>
      </c>
      <c r="H99" s="5">
        <v>70610</v>
      </c>
      <c r="I99" t="s">
        <v>16</v>
      </c>
    </row>
    <row r="100" spans="3:9" x14ac:dyDescent="0.3">
      <c r="C100" t="s">
        <v>75</v>
      </c>
      <c r="D100" t="s">
        <v>8</v>
      </c>
      <c r="E100" t="s">
        <v>19</v>
      </c>
      <c r="F100">
        <v>28</v>
      </c>
      <c r="G100" s="4">
        <v>44357</v>
      </c>
      <c r="H100" s="5">
        <v>53240</v>
      </c>
      <c r="I100" t="s">
        <v>16</v>
      </c>
    </row>
    <row r="101" spans="3:9" x14ac:dyDescent="0.3">
      <c r="C101" t="s">
        <v>49</v>
      </c>
      <c r="E101" t="s">
        <v>21</v>
      </c>
      <c r="F101">
        <v>37</v>
      </c>
      <c r="G101" s="4">
        <v>44146</v>
      </c>
      <c r="H101" s="5">
        <v>115440</v>
      </c>
      <c r="I101" t="s">
        <v>24</v>
      </c>
    </row>
    <row r="102" spans="3:9" x14ac:dyDescent="0.3">
      <c r="C102" t="s">
        <v>65</v>
      </c>
      <c r="D102" t="s">
        <v>15</v>
      </c>
      <c r="E102" t="s">
        <v>19</v>
      </c>
      <c r="F102">
        <v>32</v>
      </c>
      <c r="G102" s="4">
        <v>44465</v>
      </c>
      <c r="H102" s="5">
        <v>53540</v>
      </c>
      <c r="I102" t="s">
        <v>16</v>
      </c>
    </row>
    <row r="103" spans="3:9" x14ac:dyDescent="0.3">
      <c r="C103" t="s">
        <v>81</v>
      </c>
      <c r="D103" t="s">
        <v>8</v>
      </c>
      <c r="E103" t="s">
        <v>9</v>
      </c>
      <c r="F103">
        <v>30</v>
      </c>
      <c r="G103" s="4">
        <v>44861</v>
      </c>
      <c r="H103" s="5">
        <v>112570</v>
      </c>
      <c r="I103" t="s">
        <v>16</v>
      </c>
    </row>
    <row r="104" spans="3:9" x14ac:dyDescent="0.3">
      <c r="C104" t="s">
        <v>51</v>
      </c>
      <c r="D104" t="s">
        <v>15</v>
      </c>
      <c r="E104" t="s">
        <v>9</v>
      </c>
      <c r="F104">
        <v>33</v>
      </c>
      <c r="G104" s="4">
        <v>44701</v>
      </c>
      <c r="H104" s="5">
        <v>48530</v>
      </c>
      <c r="I104" t="s">
        <v>13</v>
      </c>
    </row>
    <row r="105" spans="3:9" x14ac:dyDescent="0.3">
      <c r="C105" t="s">
        <v>61</v>
      </c>
      <c r="D105" t="s">
        <v>8</v>
      </c>
      <c r="E105" t="s">
        <v>12</v>
      </c>
      <c r="F105">
        <v>24</v>
      </c>
      <c r="G105" s="4">
        <v>44148</v>
      </c>
      <c r="H105" s="5">
        <v>62780</v>
      </c>
      <c r="I105" t="s">
        <v>16</v>
      </c>
    </row>
    <row r="106" spans="3:9" x14ac:dyDescent="0.3">
      <c r="C106" t="s">
        <v>203</v>
      </c>
      <c r="F106">
        <f>SUBTOTAL(101,Nz_Staff[Age])</f>
        <v>30.52</v>
      </c>
      <c r="H106" s="5">
        <f>SUBTOTAL(109,Nz_Staff[Salary])</f>
        <v>7747210</v>
      </c>
      <c r="I106">
        <f>SUBTOTAL(103,Nz_Staff[Rating])</f>
        <v>100</v>
      </c>
    </row>
  </sheetData>
  <conditionalFormatting sqref="C6:C105">
    <cfRule type="duplicateValues" dxfId="0" priority="1"/>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372EC4-DDE2-4CB7-AC70-5AB590F93835}">
  <sheetPr>
    <tabColor theme="5" tint="-0.249977111117893"/>
  </sheetPr>
  <dimension ref="B2:H114"/>
  <sheetViews>
    <sheetView zoomScale="70" zoomScaleNormal="70" workbookViewId="0">
      <selection activeCell="D11" sqref="D11"/>
    </sheetView>
  </sheetViews>
  <sheetFormatPr defaultRowHeight="14.4" x14ac:dyDescent="0.3"/>
  <cols>
    <col min="1" max="1" width="8.77734375" customWidth="1"/>
    <col min="2" max="2" width="27.21875" bestFit="1" customWidth="1"/>
    <col min="3" max="3" width="9.33203125" bestFit="1" customWidth="1"/>
    <col min="4" max="4" width="6.44140625" bestFit="1" customWidth="1"/>
    <col min="5" max="5" width="13.109375" bestFit="1" customWidth="1"/>
    <col min="6" max="6" width="13" bestFit="1" customWidth="1"/>
    <col min="7" max="7" width="13.33203125" bestFit="1" customWidth="1"/>
    <col min="8" max="8" width="8.33203125" bestFit="1" customWidth="1"/>
  </cols>
  <sheetData>
    <row r="2" spans="2:8" x14ac:dyDescent="0.3">
      <c r="B2" t="s">
        <v>0</v>
      </c>
      <c r="C2" t="s">
        <v>1</v>
      </c>
      <c r="D2" t="s">
        <v>3</v>
      </c>
      <c r="E2" t="s">
        <v>6</v>
      </c>
      <c r="F2" t="s">
        <v>4</v>
      </c>
      <c r="G2" t="s">
        <v>2</v>
      </c>
      <c r="H2" t="s">
        <v>5</v>
      </c>
    </row>
    <row r="3" spans="2:8" x14ac:dyDescent="0.3">
      <c r="B3" t="s">
        <v>156</v>
      </c>
      <c r="C3" t="s">
        <v>15</v>
      </c>
      <c r="D3">
        <v>20</v>
      </c>
      <c r="E3" t="s">
        <v>16</v>
      </c>
      <c r="F3" s="4">
        <v>44122</v>
      </c>
      <c r="G3" t="s">
        <v>12</v>
      </c>
      <c r="H3">
        <v>112650</v>
      </c>
    </row>
    <row r="4" spans="2:8" x14ac:dyDescent="0.3">
      <c r="B4" t="s">
        <v>176</v>
      </c>
      <c r="C4" t="s">
        <v>8</v>
      </c>
      <c r="D4">
        <v>32</v>
      </c>
      <c r="E4" t="s">
        <v>13</v>
      </c>
      <c r="F4" s="4">
        <v>44293</v>
      </c>
      <c r="G4" t="s">
        <v>12</v>
      </c>
      <c r="H4">
        <v>43840</v>
      </c>
    </row>
    <row r="5" spans="2:8" x14ac:dyDescent="0.3">
      <c r="B5" t="s">
        <v>143</v>
      </c>
      <c r="C5" t="s">
        <v>15</v>
      </c>
      <c r="D5">
        <v>31</v>
      </c>
      <c r="E5" t="s">
        <v>16</v>
      </c>
      <c r="F5" s="4">
        <v>44663</v>
      </c>
      <c r="G5" t="s">
        <v>9</v>
      </c>
      <c r="H5">
        <v>103550</v>
      </c>
    </row>
    <row r="6" spans="2:8" x14ac:dyDescent="0.3">
      <c r="B6" t="s">
        <v>201</v>
      </c>
      <c r="C6" t="s">
        <v>8</v>
      </c>
      <c r="D6">
        <v>32</v>
      </c>
      <c r="E6" t="s">
        <v>16</v>
      </c>
      <c r="F6" s="4">
        <v>44339</v>
      </c>
      <c r="G6" t="s">
        <v>56</v>
      </c>
      <c r="H6">
        <v>45510</v>
      </c>
    </row>
    <row r="7" spans="2:8" x14ac:dyDescent="0.3">
      <c r="B7" t="s">
        <v>142</v>
      </c>
      <c r="D7">
        <v>37</v>
      </c>
      <c r="E7" t="s">
        <v>24</v>
      </c>
      <c r="F7" s="4">
        <v>44085</v>
      </c>
      <c r="G7" t="s">
        <v>21</v>
      </c>
      <c r="H7">
        <v>115440</v>
      </c>
    </row>
    <row r="8" spans="2:8" x14ac:dyDescent="0.3">
      <c r="B8" t="s">
        <v>202</v>
      </c>
      <c r="C8" t="s">
        <v>8</v>
      </c>
      <c r="D8">
        <v>38</v>
      </c>
      <c r="E8" t="s">
        <v>13</v>
      </c>
      <c r="F8" s="4">
        <v>44268</v>
      </c>
      <c r="G8" t="s">
        <v>19</v>
      </c>
      <c r="H8">
        <v>56870</v>
      </c>
    </row>
    <row r="9" spans="2:8" x14ac:dyDescent="0.3">
      <c r="B9" t="s">
        <v>169</v>
      </c>
      <c r="C9" t="s">
        <v>8</v>
      </c>
      <c r="D9">
        <v>25</v>
      </c>
      <c r="E9" t="s">
        <v>16</v>
      </c>
      <c r="F9" s="4">
        <v>44144</v>
      </c>
      <c r="G9" t="s">
        <v>19</v>
      </c>
      <c r="H9">
        <v>92700</v>
      </c>
    </row>
    <row r="10" spans="2:8" x14ac:dyDescent="0.3">
      <c r="B10" t="s">
        <v>145</v>
      </c>
      <c r="D10">
        <v>32</v>
      </c>
      <c r="E10" t="s">
        <v>16</v>
      </c>
      <c r="F10" s="4">
        <v>44713</v>
      </c>
      <c r="G10" t="s">
        <v>12</v>
      </c>
      <c r="H10">
        <v>91310</v>
      </c>
    </row>
    <row r="11" spans="2:8" x14ac:dyDescent="0.3">
      <c r="B11" t="s">
        <v>115</v>
      </c>
      <c r="C11" t="s">
        <v>15</v>
      </c>
      <c r="D11">
        <v>33</v>
      </c>
      <c r="E11" t="s">
        <v>16</v>
      </c>
      <c r="F11" s="4">
        <v>44324</v>
      </c>
      <c r="G11" t="s">
        <v>19</v>
      </c>
      <c r="H11">
        <v>74550</v>
      </c>
    </row>
    <row r="12" spans="2:8" x14ac:dyDescent="0.3">
      <c r="B12" t="s">
        <v>128</v>
      </c>
      <c r="C12" t="s">
        <v>15</v>
      </c>
      <c r="D12">
        <v>25</v>
      </c>
      <c r="E12" t="s">
        <v>13</v>
      </c>
      <c r="F12" s="4">
        <v>44665</v>
      </c>
      <c r="G12" t="s">
        <v>9</v>
      </c>
      <c r="H12">
        <v>109190</v>
      </c>
    </row>
    <row r="13" spans="2:8" x14ac:dyDescent="0.3">
      <c r="B13" t="s">
        <v>194</v>
      </c>
      <c r="C13" t="s">
        <v>8</v>
      </c>
      <c r="D13">
        <v>40</v>
      </c>
      <c r="E13" t="s">
        <v>16</v>
      </c>
      <c r="F13" s="4">
        <v>44320</v>
      </c>
      <c r="G13" t="s">
        <v>12</v>
      </c>
      <c r="H13">
        <v>104410</v>
      </c>
    </row>
    <row r="14" spans="2:8" x14ac:dyDescent="0.3">
      <c r="B14" t="s">
        <v>177</v>
      </c>
      <c r="C14" t="s">
        <v>15</v>
      </c>
      <c r="D14">
        <v>30</v>
      </c>
      <c r="E14" t="s">
        <v>16</v>
      </c>
      <c r="F14" s="4">
        <v>44544</v>
      </c>
      <c r="G14" t="s">
        <v>21</v>
      </c>
      <c r="H14">
        <v>96800</v>
      </c>
    </row>
    <row r="15" spans="2:8" x14ac:dyDescent="0.3">
      <c r="B15" t="s">
        <v>123</v>
      </c>
      <c r="C15" t="s">
        <v>15</v>
      </c>
      <c r="D15">
        <v>28</v>
      </c>
      <c r="E15" t="s">
        <v>13</v>
      </c>
      <c r="F15" s="4">
        <v>43980</v>
      </c>
      <c r="G15" t="s">
        <v>21</v>
      </c>
      <c r="H15">
        <v>48170</v>
      </c>
    </row>
    <row r="16" spans="2:8" x14ac:dyDescent="0.3">
      <c r="B16" t="s">
        <v>140</v>
      </c>
      <c r="C16" t="s">
        <v>15</v>
      </c>
      <c r="D16">
        <v>21</v>
      </c>
      <c r="E16" t="s">
        <v>16</v>
      </c>
      <c r="F16" s="4">
        <v>44042</v>
      </c>
      <c r="G16" t="s">
        <v>9</v>
      </c>
      <c r="H16">
        <v>37920</v>
      </c>
    </row>
    <row r="17" spans="2:8" x14ac:dyDescent="0.3">
      <c r="B17" t="s">
        <v>178</v>
      </c>
      <c r="C17" t="s">
        <v>15</v>
      </c>
      <c r="D17">
        <v>34</v>
      </c>
      <c r="E17" t="s">
        <v>16</v>
      </c>
      <c r="F17" s="4">
        <v>44642</v>
      </c>
      <c r="G17" t="s">
        <v>9</v>
      </c>
      <c r="H17">
        <v>112650</v>
      </c>
    </row>
    <row r="18" spans="2:8" x14ac:dyDescent="0.3">
      <c r="B18" t="s">
        <v>165</v>
      </c>
      <c r="C18" t="s">
        <v>8</v>
      </c>
      <c r="D18">
        <v>34</v>
      </c>
      <c r="E18" t="s">
        <v>24</v>
      </c>
      <c r="F18" s="4">
        <v>44660</v>
      </c>
      <c r="G18" t="s">
        <v>19</v>
      </c>
      <c r="H18">
        <v>49630</v>
      </c>
    </row>
    <row r="19" spans="2:8" x14ac:dyDescent="0.3">
      <c r="B19" t="s">
        <v>199</v>
      </c>
      <c r="C19" t="s">
        <v>15</v>
      </c>
      <c r="D19">
        <v>36</v>
      </c>
      <c r="E19" t="s">
        <v>16</v>
      </c>
      <c r="F19" s="4">
        <v>43958</v>
      </c>
      <c r="G19" t="s">
        <v>12</v>
      </c>
      <c r="H19">
        <v>118840</v>
      </c>
    </row>
    <row r="20" spans="2:8" x14ac:dyDescent="0.3">
      <c r="B20" t="s">
        <v>159</v>
      </c>
      <c r="C20" t="s">
        <v>15</v>
      </c>
      <c r="D20">
        <v>30</v>
      </c>
      <c r="E20" t="s">
        <v>16</v>
      </c>
      <c r="F20" s="4">
        <v>44789</v>
      </c>
      <c r="G20" t="s">
        <v>12</v>
      </c>
      <c r="H20">
        <v>69710</v>
      </c>
    </row>
    <row r="21" spans="2:8" x14ac:dyDescent="0.3">
      <c r="B21" t="s">
        <v>197</v>
      </c>
      <c r="C21" t="s">
        <v>15</v>
      </c>
      <c r="D21">
        <v>20</v>
      </c>
      <c r="E21" t="s">
        <v>16</v>
      </c>
      <c r="F21" s="4">
        <v>44683</v>
      </c>
      <c r="G21" t="s">
        <v>9</v>
      </c>
      <c r="H21">
        <v>79570</v>
      </c>
    </row>
    <row r="22" spans="2:8" x14ac:dyDescent="0.3">
      <c r="B22" t="s">
        <v>154</v>
      </c>
      <c r="C22" t="s">
        <v>8</v>
      </c>
      <c r="D22">
        <v>22</v>
      </c>
      <c r="E22" t="s">
        <v>13</v>
      </c>
      <c r="F22" s="4">
        <v>44388</v>
      </c>
      <c r="G22" t="s">
        <v>9</v>
      </c>
      <c r="H22">
        <v>76900</v>
      </c>
    </row>
    <row r="23" spans="2:8" x14ac:dyDescent="0.3">
      <c r="B23" t="s">
        <v>182</v>
      </c>
      <c r="C23" t="s">
        <v>15</v>
      </c>
      <c r="D23">
        <v>27</v>
      </c>
      <c r="E23" t="s">
        <v>16</v>
      </c>
      <c r="F23" s="4">
        <v>44073</v>
      </c>
      <c r="G23" t="s">
        <v>19</v>
      </c>
      <c r="H23">
        <v>54970</v>
      </c>
    </row>
    <row r="24" spans="2:8" x14ac:dyDescent="0.3">
      <c r="B24" t="s">
        <v>118</v>
      </c>
      <c r="C24" t="s">
        <v>15</v>
      </c>
      <c r="D24">
        <v>37</v>
      </c>
      <c r="E24" t="s">
        <v>24</v>
      </c>
      <c r="F24" s="4">
        <v>44277</v>
      </c>
      <c r="G24" t="s">
        <v>12</v>
      </c>
      <c r="H24">
        <v>88050</v>
      </c>
    </row>
    <row r="25" spans="2:8" x14ac:dyDescent="0.3">
      <c r="B25" t="s">
        <v>192</v>
      </c>
      <c r="C25" t="s">
        <v>15</v>
      </c>
      <c r="D25">
        <v>43</v>
      </c>
      <c r="E25" t="s">
        <v>16</v>
      </c>
      <c r="F25" s="4">
        <v>44558</v>
      </c>
      <c r="G25" t="s">
        <v>19</v>
      </c>
      <c r="H25">
        <v>36040</v>
      </c>
    </row>
    <row r="26" spans="2:8" x14ac:dyDescent="0.3">
      <c r="B26" t="s">
        <v>111</v>
      </c>
      <c r="C26" t="s">
        <v>8</v>
      </c>
      <c r="D26">
        <v>42</v>
      </c>
      <c r="E26" t="s">
        <v>10</v>
      </c>
      <c r="F26" s="4">
        <v>44718</v>
      </c>
      <c r="G26" t="s">
        <v>9</v>
      </c>
      <c r="H26">
        <v>75000</v>
      </c>
    </row>
    <row r="27" spans="2:8" x14ac:dyDescent="0.3">
      <c r="B27" t="s">
        <v>149</v>
      </c>
      <c r="C27" t="s">
        <v>15</v>
      </c>
      <c r="D27">
        <v>35</v>
      </c>
      <c r="E27" t="s">
        <v>16</v>
      </c>
      <c r="F27" s="4">
        <v>44666</v>
      </c>
      <c r="G27" t="s">
        <v>9</v>
      </c>
      <c r="H27">
        <v>40400</v>
      </c>
    </row>
    <row r="28" spans="2:8" x14ac:dyDescent="0.3">
      <c r="B28" t="s">
        <v>196</v>
      </c>
      <c r="C28" t="s">
        <v>15</v>
      </c>
      <c r="D28">
        <v>24</v>
      </c>
      <c r="E28" t="s">
        <v>16</v>
      </c>
      <c r="F28" s="4">
        <v>44625</v>
      </c>
      <c r="G28" t="s">
        <v>12</v>
      </c>
      <c r="H28">
        <v>100420</v>
      </c>
    </row>
    <row r="29" spans="2:8" x14ac:dyDescent="0.3">
      <c r="B29" t="s">
        <v>120</v>
      </c>
      <c r="C29" t="s">
        <v>8</v>
      </c>
      <c r="D29">
        <v>31</v>
      </c>
      <c r="E29" t="s">
        <v>16</v>
      </c>
      <c r="F29" s="4">
        <v>44604</v>
      </c>
      <c r="G29" t="s">
        <v>12</v>
      </c>
      <c r="H29">
        <v>58100</v>
      </c>
    </row>
    <row r="30" spans="2:8" x14ac:dyDescent="0.3">
      <c r="B30" t="s">
        <v>114</v>
      </c>
      <c r="C30" t="s">
        <v>8</v>
      </c>
      <c r="D30">
        <v>44</v>
      </c>
      <c r="E30" t="s">
        <v>16</v>
      </c>
      <c r="F30" s="4">
        <v>44985</v>
      </c>
      <c r="G30" t="s">
        <v>12</v>
      </c>
      <c r="H30">
        <v>114870</v>
      </c>
    </row>
    <row r="31" spans="2:8" x14ac:dyDescent="0.3">
      <c r="B31" t="s">
        <v>158</v>
      </c>
      <c r="C31" t="s">
        <v>8</v>
      </c>
      <c r="D31">
        <v>32</v>
      </c>
      <c r="E31" t="s">
        <v>16</v>
      </c>
      <c r="F31" s="4">
        <v>44549</v>
      </c>
      <c r="G31" t="s">
        <v>9</v>
      </c>
      <c r="H31">
        <v>41570</v>
      </c>
    </row>
    <row r="32" spans="2:8" x14ac:dyDescent="0.3">
      <c r="B32" t="s">
        <v>173</v>
      </c>
      <c r="C32" t="s">
        <v>8</v>
      </c>
      <c r="D32">
        <v>30</v>
      </c>
      <c r="E32" t="s">
        <v>16</v>
      </c>
      <c r="F32" s="4">
        <v>44800</v>
      </c>
      <c r="G32" t="s">
        <v>9</v>
      </c>
      <c r="H32">
        <v>112570</v>
      </c>
    </row>
    <row r="33" spans="2:8" x14ac:dyDescent="0.3">
      <c r="B33" t="s">
        <v>151</v>
      </c>
      <c r="C33" t="s">
        <v>15</v>
      </c>
      <c r="D33">
        <v>26</v>
      </c>
      <c r="E33" t="s">
        <v>16</v>
      </c>
      <c r="F33" s="4">
        <v>44164</v>
      </c>
      <c r="G33" t="s">
        <v>9</v>
      </c>
      <c r="H33">
        <v>47360</v>
      </c>
    </row>
    <row r="34" spans="2:8" x14ac:dyDescent="0.3">
      <c r="B34" t="s">
        <v>126</v>
      </c>
      <c r="C34" t="s">
        <v>8</v>
      </c>
      <c r="D34">
        <v>21</v>
      </c>
      <c r="E34" t="s">
        <v>16</v>
      </c>
      <c r="F34" s="4">
        <v>44256</v>
      </c>
      <c r="G34" t="s">
        <v>21</v>
      </c>
      <c r="H34">
        <v>65920</v>
      </c>
    </row>
    <row r="35" spans="2:8" x14ac:dyDescent="0.3">
      <c r="B35" t="s">
        <v>200</v>
      </c>
      <c r="C35" t="s">
        <v>8</v>
      </c>
      <c r="D35">
        <v>28</v>
      </c>
      <c r="E35" t="s">
        <v>16</v>
      </c>
      <c r="F35" s="4">
        <v>44571</v>
      </c>
      <c r="G35" t="s">
        <v>9</v>
      </c>
      <c r="H35">
        <v>99970</v>
      </c>
    </row>
    <row r="36" spans="2:8" x14ac:dyDescent="0.3">
      <c r="B36" t="s">
        <v>133</v>
      </c>
      <c r="C36" t="s">
        <v>8</v>
      </c>
      <c r="D36">
        <v>25</v>
      </c>
      <c r="E36" t="s">
        <v>13</v>
      </c>
      <c r="F36" s="4">
        <v>44633</v>
      </c>
      <c r="G36" t="s">
        <v>12</v>
      </c>
      <c r="H36">
        <v>80700</v>
      </c>
    </row>
    <row r="37" spans="2:8" x14ac:dyDescent="0.3">
      <c r="B37" t="s">
        <v>155</v>
      </c>
      <c r="C37" t="s">
        <v>15</v>
      </c>
      <c r="D37">
        <v>24</v>
      </c>
      <c r="E37" t="s">
        <v>24</v>
      </c>
      <c r="F37" s="4">
        <v>44375</v>
      </c>
      <c r="G37" t="s">
        <v>21</v>
      </c>
      <c r="H37">
        <v>52610</v>
      </c>
    </row>
    <row r="38" spans="2:8" x14ac:dyDescent="0.3">
      <c r="B38" t="s">
        <v>180</v>
      </c>
      <c r="C38" t="s">
        <v>15</v>
      </c>
      <c r="D38">
        <v>29</v>
      </c>
      <c r="E38" t="s">
        <v>24</v>
      </c>
      <c r="F38" s="4">
        <v>44119</v>
      </c>
      <c r="G38" t="s">
        <v>12</v>
      </c>
      <c r="H38">
        <v>112110</v>
      </c>
    </row>
    <row r="39" spans="2:8" x14ac:dyDescent="0.3">
      <c r="B39" t="s">
        <v>152</v>
      </c>
      <c r="C39" t="s">
        <v>8</v>
      </c>
      <c r="D39">
        <v>27</v>
      </c>
      <c r="E39" t="s">
        <v>16</v>
      </c>
      <c r="F39" s="4">
        <v>44061</v>
      </c>
      <c r="G39" t="s">
        <v>56</v>
      </c>
      <c r="H39">
        <v>119110</v>
      </c>
    </row>
    <row r="40" spans="2:8" x14ac:dyDescent="0.3">
      <c r="B40" t="s">
        <v>150</v>
      </c>
      <c r="C40" t="s">
        <v>15</v>
      </c>
      <c r="D40">
        <v>22</v>
      </c>
      <c r="E40" t="s">
        <v>13</v>
      </c>
      <c r="F40" s="4">
        <v>44384</v>
      </c>
      <c r="G40" t="s">
        <v>19</v>
      </c>
      <c r="H40">
        <v>112780</v>
      </c>
    </row>
    <row r="41" spans="2:8" x14ac:dyDescent="0.3">
      <c r="B41" t="s">
        <v>175</v>
      </c>
      <c r="C41" t="s">
        <v>8</v>
      </c>
      <c r="D41">
        <v>36</v>
      </c>
      <c r="E41" t="s">
        <v>16</v>
      </c>
      <c r="F41" s="4">
        <v>44023</v>
      </c>
      <c r="G41" t="s">
        <v>9</v>
      </c>
      <c r="H41">
        <v>114890</v>
      </c>
    </row>
    <row r="42" spans="2:8" x14ac:dyDescent="0.3">
      <c r="B42" t="s">
        <v>146</v>
      </c>
      <c r="C42" t="s">
        <v>15</v>
      </c>
      <c r="D42">
        <v>27</v>
      </c>
      <c r="E42" t="s">
        <v>16</v>
      </c>
      <c r="F42" s="4">
        <v>44506</v>
      </c>
      <c r="G42" t="s">
        <v>21</v>
      </c>
      <c r="H42">
        <v>48980</v>
      </c>
    </row>
    <row r="43" spans="2:8" x14ac:dyDescent="0.3">
      <c r="B43" t="s">
        <v>170</v>
      </c>
      <c r="C43" t="s">
        <v>15</v>
      </c>
      <c r="D43">
        <v>21</v>
      </c>
      <c r="E43" t="s">
        <v>16</v>
      </c>
      <c r="F43" s="4">
        <v>44180</v>
      </c>
      <c r="G43" t="s">
        <v>56</v>
      </c>
      <c r="H43">
        <v>75880</v>
      </c>
    </row>
    <row r="44" spans="2:8" x14ac:dyDescent="0.3">
      <c r="B44" t="s">
        <v>167</v>
      </c>
      <c r="C44" t="s">
        <v>8</v>
      </c>
      <c r="D44">
        <v>28</v>
      </c>
      <c r="E44" t="s">
        <v>16</v>
      </c>
      <c r="F44" s="4">
        <v>44296</v>
      </c>
      <c r="G44" t="s">
        <v>19</v>
      </c>
      <c r="H44">
        <v>53240</v>
      </c>
    </row>
    <row r="45" spans="2:8" x14ac:dyDescent="0.3">
      <c r="B45" t="s">
        <v>122</v>
      </c>
      <c r="C45" t="s">
        <v>8</v>
      </c>
      <c r="D45">
        <v>34</v>
      </c>
      <c r="E45" t="s">
        <v>16</v>
      </c>
      <c r="F45" s="4">
        <v>44397</v>
      </c>
      <c r="G45" t="s">
        <v>21</v>
      </c>
      <c r="H45">
        <v>85000</v>
      </c>
    </row>
    <row r="46" spans="2:8" x14ac:dyDescent="0.3">
      <c r="B46" t="s">
        <v>179</v>
      </c>
      <c r="C46" t="s">
        <v>8</v>
      </c>
      <c r="D46">
        <v>21</v>
      </c>
      <c r="E46" t="s">
        <v>16</v>
      </c>
      <c r="F46" s="4">
        <v>44619</v>
      </c>
      <c r="G46" t="s">
        <v>12</v>
      </c>
      <c r="H46">
        <v>33920</v>
      </c>
    </row>
    <row r="47" spans="2:8" x14ac:dyDescent="0.3">
      <c r="B47" t="s">
        <v>188</v>
      </c>
      <c r="C47" t="s">
        <v>8</v>
      </c>
      <c r="D47">
        <v>33</v>
      </c>
      <c r="E47" t="s">
        <v>16</v>
      </c>
      <c r="F47" s="4">
        <v>44253</v>
      </c>
      <c r="G47" t="s">
        <v>12</v>
      </c>
      <c r="H47">
        <v>75280</v>
      </c>
    </row>
    <row r="48" spans="2:8" x14ac:dyDescent="0.3">
      <c r="B48" t="s">
        <v>130</v>
      </c>
      <c r="C48" t="s">
        <v>8</v>
      </c>
      <c r="D48">
        <v>34</v>
      </c>
      <c r="E48" t="s">
        <v>16</v>
      </c>
      <c r="F48" s="4">
        <v>44594</v>
      </c>
      <c r="G48" t="s">
        <v>21</v>
      </c>
      <c r="H48">
        <v>58940</v>
      </c>
    </row>
    <row r="49" spans="2:8" x14ac:dyDescent="0.3">
      <c r="B49" t="s">
        <v>136</v>
      </c>
      <c r="C49" t="s">
        <v>8</v>
      </c>
      <c r="D49">
        <v>28</v>
      </c>
      <c r="E49" t="s">
        <v>16</v>
      </c>
      <c r="F49" s="4">
        <v>44425</v>
      </c>
      <c r="G49" t="s">
        <v>9</v>
      </c>
      <c r="H49">
        <v>104770</v>
      </c>
    </row>
    <row r="50" spans="2:8" x14ac:dyDescent="0.3">
      <c r="B50" t="s">
        <v>125</v>
      </c>
      <c r="C50" t="s">
        <v>15</v>
      </c>
      <c r="D50">
        <v>21</v>
      </c>
      <c r="E50" t="s">
        <v>16</v>
      </c>
      <c r="F50" s="4">
        <v>44701</v>
      </c>
      <c r="G50" t="s">
        <v>9</v>
      </c>
      <c r="H50">
        <v>57090</v>
      </c>
    </row>
    <row r="51" spans="2:8" x14ac:dyDescent="0.3">
      <c r="B51" t="s">
        <v>160</v>
      </c>
      <c r="C51" t="s">
        <v>15</v>
      </c>
      <c r="D51">
        <v>27</v>
      </c>
      <c r="E51" t="s">
        <v>13</v>
      </c>
      <c r="F51" s="4">
        <v>44174</v>
      </c>
      <c r="G51" t="s">
        <v>21</v>
      </c>
      <c r="H51">
        <v>91650</v>
      </c>
    </row>
    <row r="52" spans="2:8" x14ac:dyDescent="0.3">
      <c r="B52" t="s">
        <v>183</v>
      </c>
      <c r="C52" t="s">
        <v>15</v>
      </c>
      <c r="D52">
        <v>42</v>
      </c>
      <c r="E52" t="s">
        <v>24</v>
      </c>
      <c r="F52" s="4">
        <v>44670</v>
      </c>
      <c r="G52" t="s">
        <v>21</v>
      </c>
      <c r="H52">
        <v>70270</v>
      </c>
    </row>
    <row r="53" spans="2:8" x14ac:dyDescent="0.3">
      <c r="B53" t="s">
        <v>129</v>
      </c>
      <c r="C53" t="s">
        <v>8</v>
      </c>
      <c r="D53">
        <v>28</v>
      </c>
      <c r="E53" t="s">
        <v>16</v>
      </c>
      <c r="F53" s="4">
        <v>44124</v>
      </c>
      <c r="G53" t="s">
        <v>21</v>
      </c>
      <c r="H53">
        <v>75970</v>
      </c>
    </row>
    <row r="54" spans="2:8" x14ac:dyDescent="0.3">
      <c r="B54" t="s">
        <v>112</v>
      </c>
      <c r="D54">
        <v>27</v>
      </c>
      <c r="E54" t="s">
        <v>13</v>
      </c>
      <c r="F54" s="4">
        <v>44212</v>
      </c>
      <c r="G54" t="s">
        <v>12</v>
      </c>
      <c r="H54">
        <v>90700</v>
      </c>
    </row>
    <row r="55" spans="2:8" x14ac:dyDescent="0.3">
      <c r="B55" t="s">
        <v>131</v>
      </c>
      <c r="C55" t="s">
        <v>15</v>
      </c>
      <c r="D55">
        <v>30</v>
      </c>
      <c r="E55" t="s">
        <v>16</v>
      </c>
      <c r="F55" s="4">
        <v>44607</v>
      </c>
      <c r="G55" t="s">
        <v>9</v>
      </c>
      <c r="H55">
        <v>60570</v>
      </c>
    </row>
    <row r="56" spans="2:8" x14ac:dyDescent="0.3">
      <c r="B56" t="s">
        <v>134</v>
      </c>
      <c r="C56" t="s">
        <v>15</v>
      </c>
      <c r="D56">
        <v>33</v>
      </c>
      <c r="E56" t="s">
        <v>16</v>
      </c>
      <c r="F56" s="4">
        <v>44103</v>
      </c>
      <c r="G56" t="s">
        <v>9</v>
      </c>
      <c r="H56">
        <v>115920</v>
      </c>
    </row>
    <row r="57" spans="2:8" x14ac:dyDescent="0.3">
      <c r="B57" t="s">
        <v>186</v>
      </c>
      <c r="C57" t="s">
        <v>8</v>
      </c>
      <c r="D57">
        <v>33</v>
      </c>
      <c r="E57" t="s">
        <v>16</v>
      </c>
      <c r="F57" s="4">
        <v>44006</v>
      </c>
      <c r="G57" t="s">
        <v>21</v>
      </c>
      <c r="H57">
        <v>65360</v>
      </c>
    </row>
    <row r="58" spans="2:8" x14ac:dyDescent="0.3">
      <c r="B58" t="s">
        <v>116</v>
      </c>
      <c r="D58">
        <v>30</v>
      </c>
      <c r="E58" t="s">
        <v>16</v>
      </c>
      <c r="F58" s="4">
        <v>44535</v>
      </c>
      <c r="G58" t="s">
        <v>21</v>
      </c>
      <c r="H58">
        <v>64000</v>
      </c>
    </row>
    <row r="59" spans="2:8" x14ac:dyDescent="0.3">
      <c r="B59" t="s">
        <v>195</v>
      </c>
      <c r="C59" t="s">
        <v>8</v>
      </c>
      <c r="D59">
        <v>34</v>
      </c>
      <c r="E59" t="s">
        <v>16</v>
      </c>
      <c r="F59" s="4">
        <v>44383</v>
      </c>
      <c r="G59" t="s">
        <v>21</v>
      </c>
      <c r="H59">
        <v>92450</v>
      </c>
    </row>
    <row r="60" spans="2:8" x14ac:dyDescent="0.3">
      <c r="B60" t="s">
        <v>113</v>
      </c>
      <c r="C60" t="s">
        <v>15</v>
      </c>
      <c r="D60">
        <v>31</v>
      </c>
      <c r="E60" t="s">
        <v>16</v>
      </c>
      <c r="F60" s="4">
        <v>44450</v>
      </c>
      <c r="G60" t="s">
        <v>12</v>
      </c>
      <c r="H60">
        <v>48950</v>
      </c>
    </row>
    <row r="61" spans="2:8" x14ac:dyDescent="0.3">
      <c r="B61" t="s">
        <v>185</v>
      </c>
      <c r="C61" t="s">
        <v>8</v>
      </c>
      <c r="D61">
        <v>27</v>
      </c>
      <c r="E61" t="s">
        <v>16</v>
      </c>
      <c r="F61" s="4">
        <v>44625</v>
      </c>
      <c r="G61" t="s">
        <v>12</v>
      </c>
      <c r="H61">
        <v>83750</v>
      </c>
    </row>
    <row r="62" spans="2:8" x14ac:dyDescent="0.3">
      <c r="B62" t="s">
        <v>166</v>
      </c>
      <c r="C62" t="s">
        <v>8</v>
      </c>
      <c r="D62">
        <v>40</v>
      </c>
      <c r="E62" t="s">
        <v>16</v>
      </c>
      <c r="F62" s="4">
        <v>44276</v>
      </c>
      <c r="G62" t="s">
        <v>12</v>
      </c>
      <c r="H62">
        <v>87620</v>
      </c>
    </row>
    <row r="63" spans="2:8" x14ac:dyDescent="0.3">
      <c r="B63" t="s">
        <v>184</v>
      </c>
      <c r="C63" t="s">
        <v>8</v>
      </c>
      <c r="D63">
        <v>20</v>
      </c>
      <c r="E63" t="s">
        <v>24</v>
      </c>
      <c r="F63" s="4">
        <v>44476</v>
      </c>
      <c r="G63" t="s">
        <v>19</v>
      </c>
      <c r="H63">
        <v>68900</v>
      </c>
    </row>
    <row r="64" spans="2:8" x14ac:dyDescent="0.3">
      <c r="B64" t="s">
        <v>157</v>
      </c>
      <c r="C64" t="s">
        <v>15</v>
      </c>
      <c r="D64">
        <v>32</v>
      </c>
      <c r="E64" t="s">
        <v>16</v>
      </c>
      <c r="F64" s="4">
        <v>44403</v>
      </c>
      <c r="G64" t="s">
        <v>19</v>
      </c>
      <c r="H64">
        <v>53540</v>
      </c>
    </row>
    <row r="65" spans="2:8" x14ac:dyDescent="0.3">
      <c r="B65" t="s">
        <v>172</v>
      </c>
      <c r="C65" t="s">
        <v>15</v>
      </c>
      <c r="D65">
        <v>28</v>
      </c>
      <c r="E65" t="s">
        <v>42</v>
      </c>
      <c r="F65" s="4">
        <v>44758</v>
      </c>
      <c r="G65" t="s">
        <v>19</v>
      </c>
      <c r="H65">
        <v>43510</v>
      </c>
    </row>
    <row r="66" spans="2:8" x14ac:dyDescent="0.3">
      <c r="B66" t="s">
        <v>127</v>
      </c>
      <c r="C66" t="s">
        <v>8</v>
      </c>
      <c r="D66">
        <v>38</v>
      </c>
      <c r="E66" t="s">
        <v>10</v>
      </c>
      <c r="F66" s="4">
        <v>44316</v>
      </c>
      <c r="G66" t="s">
        <v>19</v>
      </c>
      <c r="H66">
        <v>109160</v>
      </c>
    </row>
    <row r="67" spans="2:8" x14ac:dyDescent="0.3">
      <c r="B67" t="s">
        <v>198</v>
      </c>
      <c r="C67" t="s">
        <v>15</v>
      </c>
      <c r="D67">
        <v>40</v>
      </c>
      <c r="E67" t="s">
        <v>16</v>
      </c>
      <c r="F67" s="4">
        <v>44204</v>
      </c>
      <c r="G67" t="s">
        <v>9</v>
      </c>
      <c r="H67">
        <v>99750</v>
      </c>
    </row>
    <row r="68" spans="2:8" x14ac:dyDescent="0.3">
      <c r="B68" t="s">
        <v>124</v>
      </c>
      <c r="C68" t="s">
        <v>8</v>
      </c>
      <c r="D68">
        <v>31</v>
      </c>
      <c r="E68" t="s">
        <v>16</v>
      </c>
      <c r="F68" s="4">
        <v>44084</v>
      </c>
      <c r="G68" t="s">
        <v>12</v>
      </c>
      <c r="H68">
        <v>41980</v>
      </c>
    </row>
    <row r="69" spans="2:8" x14ac:dyDescent="0.3">
      <c r="B69" t="s">
        <v>187</v>
      </c>
      <c r="C69" t="s">
        <v>15</v>
      </c>
      <c r="D69">
        <v>36</v>
      </c>
      <c r="E69" t="s">
        <v>16</v>
      </c>
      <c r="F69" s="4">
        <v>44272</v>
      </c>
      <c r="G69" t="s">
        <v>21</v>
      </c>
      <c r="H69">
        <v>71380</v>
      </c>
    </row>
    <row r="70" spans="2:8" x14ac:dyDescent="0.3">
      <c r="B70" t="s">
        <v>191</v>
      </c>
      <c r="C70" t="s">
        <v>15</v>
      </c>
      <c r="D70">
        <v>27</v>
      </c>
      <c r="E70" t="s">
        <v>42</v>
      </c>
      <c r="F70" s="4">
        <v>44547</v>
      </c>
      <c r="G70" t="s">
        <v>9</v>
      </c>
      <c r="H70">
        <v>113280</v>
      </c>
    </row>
    <row r="71" spans="2:8" x14ac:dyDescent="0.3">
      <c r="B71" t="s">
        <v>181</v>
      </c>
      <c r="C71" t="s">
        <v>8</v>
      </c>
      <c r="D71">
        <v>33</v>
      </c>
      <c r="E71" t="s">
        <v>16</v>
      </c>
      <c r="F71" s="4">
        <v>44747</v>
      </c>
      <c r="G71" t="s">
        <v>21</v>
      </c>
      <c r="H71">
        <v>86570</v>
      </c>
    </row>
    <row r="72" spans="2:8" x14ac:dyDescent="0.3">
      <c r="B72" t="s">
        <v>139</v>
      </c>
      <c r="C72" t="s">
        <v>15</v>
      </c>
      <c r="D72">
        <v>26</v>
      </c>
      <c r="E72" t="s">
        <v>16</v>
      </c>
      <c r="F72" s="4">
        <v>44350</v>
      </c>
      <c r="G72" t="s">
        <v>9</v>
      </c>
      <c r="H72">
        <v>53540</v>
      </c>
    </row>
    <row r="73" spans="2:8" x14ac:dyDescent="0.3">
      <c r="B73" t="s">
        <v>190</v>
      </c>
      <c r="C73" t="s">
        <v>15</v>
      </c>
      <c r="D73">
        <v>37</v>
      </c>
      <c r="E73" t="s">
        <v>16</v>
      </c>
      <c r="F73" s="4">
        <v>44640</v>
      </c>
      <c r="G73" t="s">
        <v>12</v>
      </c>
      <c r="H73">
        <v>69070</v>
      </c>
    </row>
    <row r="74" spans="2:8" x14ac:dyDescent="0.3">
      <c r="B74" t="s">
        <v>121</v>
      </c>
      <c r="C74" t="s">
        <v>8</v>
      </c>
      <c r="D74">
        <v>30</v>
      </c>
      <c r="E74" t="s">
        <v>24</v>
      </c>
      <c r="F74" s="4">
        <v>44328</v>
      </c>
      <c r="G74" t="s">
        <v>21</v>
      </c>
      <c r="H74">
        <v>67910</v>
      </c>
    </row>
    <row r="75" spans="2:8" x14ac:dyDescent="0.3">
      <c r="B75" t="s">
        <v>119</v>
      </c>
      <c r="C75" t="s">
        <v>15</v>
      </c>
      <c r="D75">
        <v>30</v>
      </c>
      <c r="E75" t="s">
        <v>16</v>
      </c>
      <c r="F75" s="4">
        <v>44214</v>
      </c>
      <c r="G75" t="s">
        <v>12</v>
      </c>
      <c r="H75">
        <v>69120</v>
      </c>
    </row>
    <row r="76" spans="2:8" x14ac:dyDescent="0.3">
      <c r="B76" t="s">
        <v>132</v>
      </c>
      <c r="C76" t="s">
        <v>8</v>
      </c>
      <c r="D76">
        <v>34</v>
      </c>
      <c r="E76" t="s">
        <v>16</v>
      </c>
      <c r="F76" s="4">
        <v>44550</v>
      </c>
      <c r="G76" t="s">
        <v>21</v>
      </c>
      <c r="H76">
        <v>60130</v>
      </c>
    </row>
    <row r="77" spans="2:8" x14ac:dyDescent="0.3">
      <c r="B77" t="s">
        <v>161</v>
      </c>
      <c r="C77" t="s">
        <v>15</v>
      </c>
      <c r="D77">
        <v>23</v>
      </c>
      <c r="E77" t="s">
        <v>16</v>
      </c>
      <c r="F77" s="4">
        <v>44378</v>
      </c>
      <c r="G77" t="s">
        <v>9</v>
      </c>
      <c r="H77">
        <v>106460</v>
      </c>
    </row>
    <row r="78" spans="2:8" x14ac:dyDescent="0.3">
      <c r="B78" t="s">
        <v>148</v>
      </c>
      <c r="C78" t="s">
        <v>8</v>
      </c>
      <c r="D78">
        <v>37</v>
      </c>
      <c r="E78" t="s">
        <v>16</v>
      </c>
      <c r="F78" s="4">
        <v>44389</v>
      </c>
      <c r="G78" t="s">
        <v>56</v>
      </c>
      <c r="H78">
        <v>118100</v>
      </c>
    </row>
    <row r="79" spans="2:8" x14ac:dyDescent="0.3">
      <c r="B79" t="s">
        <v>164</v>
      </c>
      <c r="C79" t="s">
        <v>8</v>
      </c>
      <c r="D79">
        <v>36</v>
      </c>
      <c r="E79" t="s">
        <v>16</v>
      </c>
      <c r="F79" s="4">
        <v>44468</v>
      </c>
      <c r="G79" t="s">
        <v>9</v>
      </c>
      <c r="H79">
        <v>78390</v>
      </c>
    </row>
    <row r="80" spans="2:8" x14ac:dyDescent="0.3">
      <c r="B80" t="s">
        <v>147</v>
      </c>
      <c r="C80" t="s">
        <v>8</v>
      </c>
      <c r="D80">
        <v>30</v>
      </c>
      <c r="E80" t="s">
        <v>16</v>
      </c>
      <c r="F80" s="4">
        <v>44789</v>
      </c>
      <c r="G80" t="s">
        <v>9</v>
      </c>
      <c r="H80">
        <v>114180</v>
      </c>
    </row>
    <row r="81" spans="2:8" x14ac:dyDescent="0.3">
      <c r="B81" t="s">
        <v>189</v>
      </c>
      <c r="C81" t="s">
        <v>8</v>
      </c>
      <c r="D81">
        <v>28</v>
      </c>
      <c r="E81" t="s">
        <v>16</v>
      </c>
      <c r="F81" s="4">
        <v>44590</v>
      </c>
      <c r="G81" t="s">
        <v>9</v>
      </c>
      <c r="H81">
        <v>104120</v>
      </c>
    </row>
    <row r="82" spans="2:8" x14ac:dyDescent="0.3">
      <c r="B82" t="s">
        <v>138</v>
      </c>
      <c r="C82" t="s">
        <v>15</v>
      </c>
      <c r="D82">
        <v>30</v>
      </c>
      <c r="E82" t="s">
        <v>16</v>
      </c>
      <c r="F82" s="4">
        <v>44640</v>
      </c>
      <c r="G82" t="s">
        <v>9</v>
      </c>
      <c r="H82">
        <v>67950</v>
      </c>
    </row>
    <row r="83" spans="2:8" x14ac:dyDescent="0.3">
      <c r="B83" t="s">
        <v>137</v>
      </c>
      <c r="C83" t="s">
        <v>8</v>
      </c>
      <c r="D83">
        <v>29</v>
      </c>
      <c r="E83" t="s">
        <v>16</v>
      </c>
      <c r="F83" s="4">
        <v>43962</v>
      </c>
      <c r="G83" t="s">
        <v>12</v>
      </c>
      <c r="H83">
        <v>34980</v>
      </c>
    </row>
    <row r="84" spans="2:8" x14ac:dyDescent="0.3">
      <c r="B84" t="s">
        <v>153</v>
      </c>
      <c r="C84" t="s">
        <v>8</v>
      </c>
      <c r="D84">
        <v>24</v>
      </c>
      <c r="E84" t="s">
        <v>16</v>
      </c>
      <c r="F84" s="4">
        <v>44087</v>
      </c>
      <c r="G84" t="s">
        <v>12</v>
      </c>
      <c r="H84">
        <v>62780</v>
      </c>
    </row>
    <row r="85" spans="2:8" x14ac:dyDescent="0.3">
      <c r="B85" t="s">
        <v>117</v>
      </c>
      <c r="C85" t="s">
        <v>15</v>
      </c>
      <c r="D85">
        <v>20</v>
      </c>
      <c r="E85" t="s">
        <v>16</v>
      </c>
      <c r="F85" s="4">
        <v>44397</v>
      </c>
      <c r="G85" t="s">
        <v>12</v>
      </c>
      <c r="H85">
        <v>107700</v>
      </c>
    </row>
    <row r="86" spans="2:8" x14ac:dyDescent="0.3">
      <c r="B86" t="s">
        <v>168</v>
      </c>
      <c r="C86" t="s">
        <v>15</v>
      </c>
      <c r="D86">
        <v>25</v>
      </c>
      <c r="E86" t="s">
        <v>16</v>
      </c>
      <c r="F86" s="4">
        <v>44322</v>
      </c>
      <c r="G86" t="s">
        <v>19</v>
      </c>
      <c r="H86">
        <v>65700</v>
      </c>
    </row>
    <row r="87" spans="2:8" x14ac:dyDescent="0.3">
      <c r="B87" t="s">
        <v>135</v>
      </c>
      <c r="C87" t="s">
        <v>8</v>
      </c>
      <c r="D87">
        <v>33</v>
      </c>
      <c r="E87" t="s">
        <v>42</v>
      </c>
      <c r="F87" s="4">
        <v>44313</v>
      </c>
      <c r="G87" t="s">
        <v>12</v>
      </c>
      <c r="H87">
        <v>75480</v>
      </c>
    </row>
    <row r="88" spans="2:8" x14ac:dyDescent="0.3">
      <c r="B88" t="s">
        <v>174</v>
      </c>
      <c r="C88" t="s">
        <v>15</v>
      </c>
      <c r="D88">
        <v>33</v>
      </c>
      <c r="E88" t="s">
        <v>16</v>
      </c>
      <c r="F88" s="4">
        <v>44448</v>
      </c>
      <c r="G88" t="s">
        <v>12</v>
      </c>
      <c r="H88">
        <v>53870</v>
      </c>
    </row>
    <row r="89" spans="2:8" x14ac:dyDescent="0.3">
      <c r="B89" t="s">
        <v>141</v>
      </c>
      <c r="C89" t="s">
        <v>8</v>
      </c>
      <c r="D89">
        <v>36</v>
      </c>
      <c r="E89" t="s">
        <v>16</v>
      </c>
      <c r="F89" s="4">
        <v>44433</v>
      </c>
      <c r="G89" t="s">
        <v>19</v>
      </c>
      <c r="H89">
        <v>78540</v>
      </c>
    </row>
    <row r="90" spans="2:8" x14ac:dyDescent="0.3">
      <c r="B90" t="s">
        <v>193</v>
      </c>
      <c r="C90" t="s">
        <v>15</v>
      </c>
      <c r="D90">
        <v>19</v>
      </c>
      <c r="E90" t="s">
        <v>16</v>
      </c>
      <c r="F90" s="4">
        <v>44218</v>
      </c>
      <c r="G90" t="s">
        <v>9</v>
      </c>
      <c r="H90">
        <v>58960</v>
      </c>
    </row>
    <row r="91" spans="2:8" x14ac:dyDescent="0.3">
      <c r="B91" t="s">
        <v>162</v>
      </c>
      <c r="C91" t="s">
        <v>15</v>
      </c>
      <c r="D91">
        <v>46</v>
      </c>
      <c r="E91" t="s">
        <v>16</v>
      </c>
      <c r="F91" s="4">
        <v>44697</v>
      </c>
      <c r="G91" t="s">
        <v>9</v>
      </c>
      <c r="H91">
        <v>70610</v>
      </c>
    </row>
    <row r="92" spans="2:8" x14ac:dyDescent="0.3">
      <c r="B92" t="s">
        <v>171</v>
      </c>
      <c r="C92" t="s">
        <v>15</v>
      </c>
      <c r="D92">
        <v>33</v>
      </c>
      <c r="E92" t="s">
        <v>16</v>
      </c>
      <c r="F92" s="4">
        <v>44181</v>
      </c>
      <c r="G92" t="s">
        <v>21</v>
      </c>
      <c r="H92">
        <v>59430</v>
      </c>
    </row>
    <row r="93" spans="2:8" x14ac:dyDescent="0.3">
      <c r="B93" t="s">
        <v>144</v>
      </c>
      <c r="C93" t="s">
        <v>15</v>
      </c>
      <c r="D93">
        <v>33</v>
      </c>
      <c r="E93" t="s">
        <v>13</v>
      </c>
      <c r="F93" s="4">
        <v>44640</v>
      </c>
      <c r="G93" t="s">
        <v>9</v>
      </c>
      <c r="H93">
        <v>48530</v>
      </c>
    </row>
    <row r="94" spans="2:8" x14ac:dyDescent="0.3">
      <c r="B94" t="s">
        <v>163</v>
      </c>
      <c r="C94" t="s">
        <v>8</v>
      </c>
      <c r="D94">
        <v>33</v>
      </c>
      <c r="E94" t="s">
        <v>16</v>
      </c>
      <c r="F94" s="4">
        <v>44129</v>
      </c>
      <c r="G94" t="s">
        <v>12</v>
      </c>
      <c r="H94">
        <v>96140</v>
      </c>
    </row>
    <row r="95" spans="2:8" x14ac:dyDescent="0.3">
      <c r="B95" t="s">
        <v>156</v>
      </c>
      <c r="C95" t="s">
        <v>15</v>
      </c>
      <c r="D95">
        <v>20</v>
      </c>
      <c r="E95" t="s">
        <v>16</v>
      </c>
      <c r="F95" s="4">
        <v>44122</v>
      </c>
      <c r="G95" t="s">
        <v>12</v>
      </c>
      <c r="H95">
        <v>112650</v>
      </c>
    </row>
    <row r="96" spans="2:8" x14ac:dyDescent="0.3">
      <c r="B96" t="s">
        <v>176</v>
      </c>
      <c r="C96" t="s">
        <v>8</v>
      </c>
      <c r="D96">
        <v>32</v>
      </c>
      <c r="E96" t="s">
        <v>13</v>
      </c>
      <c r="F96" s="4">
        <v>44293</v>
      </c>
      <c r="G96" t="s">
        <v>12</v>
      </c>
      <c r="H96">
        <v>43840</v>
      </c>
    </row>
    <row r="97" spans="2:8" x14ac:dyDescent="0.3">
      <c r="B97" t="s">
        <v>143</v>
      </c>
      <c r="C97" t="s">
        <v>15</v>
      </c>
      <c r="D97">
        <v>31</v>
      </c>
      <c r="E97" t="s">
        <v>16</v>
      </c>
      <c r="F97" s="4">
        <v>44663</v>
      </c>
      <c r="G97" t="s">
        <v>9</v>
      </c>
      <c r="H97">
        <v>103550</v>
      </c>
    </row>
    <row r="98" spans="2:8" x14ac:dyDescent="0.3">
      <c r="B98" t="s">
        <v>201</v>
      </c>
      <c r="C98" t="s">
        <v>8</v>
      </c>
      <c r="D98">
        <v>32</v>
      </c>
      <c r="E98" t="s">
        <v>16</v>
      </c>
      <c r="F98" s="4">
        <v>44339</v>
      </c>
      <c r="G98" t="s">
        <v>56</v>
      </c>
      <c r="H98">
        <v>45510</v>
      </c>
    </row>
    <row r="99" spans="2:8" x14ac:dyDescent="0.3">
      <c r="B99" t="s">
        <v>142</v>
      </c>
      <c r="D99">
        <v>37</v>
      </c>
      <c r="E99" t="s">
        <v>24</v>
      </c>
      <c r="F99" s="4">
        <v>44085</v>
      </c>
      <c r="G99" t="s">
        <v>21</v>
      </c>
      <c r="H99">
        <v>115440</v>
      </c>
    </row>
    <row r="100" spans="2:8" x14ac:dyDescent="0.3">
      <c r="B100" t="s">
        <v>202</v>
      </c>
      <c r="C100" t="s">
        <v>8</v>
      </c>
      <c r="D100">
        <v>38</v>
      </c>
      <c r="E100" t="s">
        <v>13</v>
      </c>
      <c r="F100" s="4">
        <v>44268</v>
      </c>
      <c r="G100" t="s">
        <v>19</v>
      </c>
      <c r="H100">
        <v>56870</v>
      </c>
    </row>
    <row r="101" spans="2:8" x14ac:dyDescent="0.3">
      <c r="B101" t="s">
        <v>169</v>
      </c>
      <c r="C101" t="s">
        <v>8</v>
      </c>
      <c r="D101">
        <v>25</v>
      </c>
      <c r="E101" t="s">
        <v>16</v>
      </c>
      <c r="F101" s="4">
        <v>44144</v>
      </c>
      <c r="G101" t="s">
        <v>19</v>
      </c>
      <c r="H101">
        <v>92700</v>
      </c>
    </row>
    <row r="102" spans="2:8" x14ac:dyDescent="0.3">
      <c r="B102" t="s">
        <v>145</v>
      </c>
      <c r="D102">
        <v>32</v>
      </c>
      <c r="E102" t="s">
        <v>16</v>
      </c>
      <c r="F102" s="4">
        <v>44713</v>
      </c>
      <c r="G102" t="s">
        <v>12</v>
      </c>
      <c r="H102">
        <v>91310</v>
      </c>
    </row>
    <row r="103" spans="2:8" x14ac:dyDescent="0.3">
      <c r="B103" t="s">
        <v>115</v>
      </c>
      <c r="C103" t="s">
        <v>15</v>
      </c>
      <c r="D103">
        <v>33</v>
      </c>
      <c r="E103" t="s">
        <v>16</v>
      </c>
      <c r="F103" s="4">
        <v>44324</v>
      </c>
      <c r="G103" t="s">
        <v>19</v>
      </c>
      <c r="H103">
        <v>74550</v>
      </c>
    </row>
    <row r="104" spans="2:8" x14ac:dyDescent="0.3">
      <c r="B104" t="s">
        <v>128</v>
      </c>
      <c r="C104" t="s">
        <v>15</v>
      </c>
      <c r="D104">
        <v>25</v>
      </c>
      <c r="E104" t="s">
        <v>13</v>
      </c>
      <c r="F104" s="4">
        <v>44665</v>
      </c>
      <c r="G104" t="s">
        <v>9</v>
      </c>
      <c r="H104">
        <v>109190</v>
      </c>
    </row>
    <row r="105" spans="2:8" x14ac:dyDescent="0.3">
      <c r="B105" t="s">
        <v>194</v>
      </c>
      <c r="C105" t="s">
        <v>8</v>
      </c>
      <c r="D105">
        <v>40</v>
      </c>
      <c r="E105" t="s">
        <v>16</v>
      </c>
      <c r="F105" s="4">
        <v>44320</v>
      </c>
      <c r="G105" t="s">
        <v>12</v>
      </c>
      <c r="H105">
        <v>104410</v>
      </c>
    </row>
    <row r="106" spans="2:8" x14ac:dyDescent="0.3">
      <c r="B106" t="s">
        <v>177</v>
      </c>
      <c r="C106" t="s">
        <v>15</v>
      </c>
      <c r="D106">
        <v>30</v>
      </c>
      <c r="E106" t="s">
        <v>16</v>
      </c>
      <c r="F106" s="4">
        <v>44544</v>
      </c>
      <c r="G106" t="s">
        <v>21</v>
      </c>
      <c r="H106">
        <v>96800</v>
      </c>
    </row>
    <row r="107" spans="2:8" x14ac:dyDescent="0.3">
      <c r="B107" t="s">
        <v>123</v>
      </c>
      <c r="C107" t="s">
        <v>15</v>
      </c>
      <c r="D107">
        <v>28</v>
      </c>
      <c r="E107" t="s">
        <v>13</v>
      </c>
      <c r="F107" s="4">
        <v>43980</v>
      </c>
      <c r="G107" t="s">
        <v>21</v>
      </c>
      <c r="H107">
        <v>48170</v>
      </c>
    </row>
    <row r="108" spans="2:8" x14ac:dyDescent="0.3">
      <c r="B108" t="s">
        <v>140</v>
      </c>
      <c r="C108" t="s">
        <v>15</v>
      </c>
      <c r="D108">
        <v>21</v>
      </c>
      <c r="E108" t="s">
        <v>16</v>
      </c>
      <c r="F108" s="4">
        <v>44042</v>
      </c>
      <c r="G108" t="s">
        <v>9</v>
      </c>
      <c r="H108">
        <v>37920</v>
      </c>
    </row>
    <row r="109" spans="2:8" x14ac:dyDescent="0.3">
      <c r="B109" t="s">
        <v>178</v>
      </c>
      <c r="C109" t="s">
        <v>15</v>
      </c>
      <c r="D109">
        <v>34</v>
      </c>
      <c r="E109" t="s">
        <v>16</v>
      </c>
      <c r="F109" s="4">
        <v>44642</v>
      </c>
      <c r="G109" t="s">
        <v>9</v>
      </c>
      <c r="H109">
        <v>112650</v>
      </c>
    </row>
    <row r="110" spans="2:8" x14ac:dyDescent="0.3">
      <c r="B110" t="s">
        <v>165</v>
      </c>
      <c r="C110" t="s">
        <v>8</v>
      </c>
      <c r="D110">
        <v>34</v>
      </c>
      <c r="E110" t="s">
        <v>24</v>
      </c>
      <c r="F110" s="4">
        <v>44660</v>
      </c>
      <c r="G110" t="s">
        <v>19</v>
      </c>
      <c r="H110">
        <v>49630</v>
      </c>
    </row>
    <row r="111" spans="2:8" x14ac:dyDescent="0.3">
      <c r="B111" t="s">
        <v>199</v>
      </c>
      <c r="C111" t="s">
        <v>15</v>
      </c>
      <c r="D111">
        <v>36</v>
      </c>
      <c r="E111" t="s">
        <v>16</v>
      </c>
      <c r="F111" s="4">
        <v>43958</v>
      </c>
      <c r="G111" t="s">
        <v>12</v>
      </c>
      <c r="H111">
        <v>118840</v>
      </c>
    </row>
    <row r="112" spans="2:8" x14ac:dyDescent="0.3">
      <c r="B112" t="s">
        <v>159</v>
      </c>
      <c r="C112" t="s">
        <v>15</v>
      </c>
      <c r="D112">
        <v>30</v>
      </c>
      <c r="E112" t="s">
        <v>16</v>
      </c>
      <c r="F112" s="4">
        <v>44789</v>
      </c>
      <c r="G112" t="s">
        <v>12</v>
      </c>
      <c r="H112">
        <v>69710</v>
      </c>
    </row>
    <row r="113" spans="2:8" x14ac:dyDescent="0.3">
      <c r="B113" t="s">
        <v>197</v>
      </c>
      <c r="C113" t="s">
        <v>15</v>
      </c>
      <c r="D113">
        <v>20</v>
      </c>
      <c r="E113" t="s">
        <v>16</v>
      </c>
      <c r="F113" s="4">
        <v>44683</v>
      </c>
      <c r="G113" t="s">
        <v>9</v>
      </c>
      <c r="H113">
        <v>79570</v>
      </c>
    </row>
    <row r="114" spans="2:8" x14ac:dyDescent="0.3">
      <c r="B114" t="s">
        <v>154</v>
      </c>
      <c r="C114" t="s">
        <v>8</v>
      </c>
      <c r="D114">
        <v>22</v>
      </c>
      <c r="E114" t="s">
        <v>13</v>
      </c>
      <c r="F114" s="4">
        <v>44388</v>
      </c>
      <c r="G114" t="s">
        <v>9</v>
      </c>
      <c r="H114">
        <v>76900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AC23A-8BC8-45FB-8772-DD14F11B432F}">
  <sheetPr>
    <tabColor rgb="FFFFC000"/>
  </sheetPr>
  <dimension ref="A1:V185"/>
  <sheetViews>
    <sheetView workbookViewId="0">
      <selection activeCell="K2" activeCellId="1" sqref="G2:G184 K2:K184"/>
    </sheetView>
  </sheetViews>
  <sheetFormatPr defaultRowHeight="14.4" x14ac:dyDescent="0.3"/>
  <cols>
    <col min="1" max="1" width="27.21875" bestFit="1" customWidth="1"/>
    <col min="2" max="2" width="9.33203125" bestFit="1" customWidth="1"/>
    <col min="3" max="3" width="6.44140625" bestFit="1" customWidth="1"/>
    <col min="4" max="4" width="13.109375" bestFit="1" customWidth="1"/>
    <col min="5" max="5" width="13" bestFit="1" customWidth="1"/>
    <col min="6" max="6" width="13.33203125" bestFit="1" customWidth="1"/>
    <col min="7" max="7" width="11" bestFit="1" customWidth="1"/>
    <col min="8" max="8" width="10" bestFit="1" customWidth="1"/>
    <col min="9" max="9" width="9.5546875" bestFit="1" customWidth="1"/>
    <col min="10" max="14" width="9.5546875" customWidth="1"/>
    <col min="18" max="18" width="13.109375" bestFit="1" customWidth="1"/>
    <col min="20" max="20" width="20.88671875" bestFit="1" customWidth="1"/>
  </cols>
  <sheetData>
    <row r="1" spans="1:22" x14ac:dyDescent="0.3">
      <c r="A1" t="s">
        <v>0</v>
      </c>
      <c r="B1" t="s">
        <v>1</v>
      </c>
      <c r="C1" t="s">
        <v>3</v>
      </c>
      <c r="D1" t="s">
        <v>6</v>
      </c>
      <c r="E1" t="s">
        <v>4</v>
      </c>
      <c r="F1" t="s">
        <v>2</v>
      </c>
      <c r="G1" t="s">
        <v>5</v>
      </c>
      <c r="H1" t="s">
        <v>204</v>
      </c>
      <c r="I1" t="s">
        <v>215</v>
      </c>
      <c r="J1" t="s">
        <v>236</v>
      </c>
      <c r="K1" t="s">
        <v>240</v>
      </c>
      <c r="O1" s="19">
        <v>1</v>
      </c>
      <c r="P1" s="13" t="s">
        <v>208</v>
      </c>
      <c r="Q1" s="13"/>
      <c r="R1" s="13"/>
      <c r="S1" s="13"/>
      <c r="T1" s="14" t="s">
        <v>214</v>
      </c>
      <c r="U1" s="14" t="s">
        <v>216</v>
      </c>
    </row>
    <row r="2" spans="1:22" x14ac:dyDescent="0.3">
      <c r="A2" s="6" t="s">
        <v>156</v>
      </c>
      <c r="B2" s="6" t="s">
        <v>15</v>
      </c>
      <c r="C2">
        <v>20</v>
      </c>
      <c r="D2" t="s">
        <v>16</v>
      </c>
      <c r="E2" s="7">
        <v>44122</v>
      </c>
      <c r="F2" s="6" t="s">
        <v>12</v>
      </c>
      <c r="G2" s="40">
        <v>112650</v>
      </c>
      <c r="H2" t="s">
        <v>205</v>
      </c>
      <c r="I2" s="9">
        <f ca="1">(TODAY()-All_Staff[[#This Row],[Date Joined]])/365</f>
        <v>5.2465753424657535</v>
      </c>
      <c r="J2" s="41">
        <f>ROUNDUP(IF(All_Staff[[#This Row],[Salary]]&gt;2,3%,2%)*All_Staff[[#This Row],[Salary]],0)</f>
        <v>3380</v>
      </c>
      <c r="K2" s="46">
        <f>_xlfn.XLOOKUP(All_Staff[[#This Row],[Rating]],'Salary Vs Rating'!$E$2:$E$6,'Salary Vs Rating'!$F$2:$F$6)</f>
        <v>3</v>
      </c>
      <c r="L2" s="41"/>
      <c r="M2" s="41"/>
      <c r="N2" s="9"/>
      <c r="O2" s="19"/>
      <c r="P2" s="15" t="s">
        <v>209</v>
      </c>
      <c r="Q2" s="15"/>
      <c r="R2" s="15"/>
      <c r="S2" s="15"/>
      <c r="T2" s="16">
        <f>COUNTA(All_Staff[Name])</f>
        <v>183</v>
      </c>
      <c r="U2" s="16"/>
    </row>
    <row r="3" spans="1:22" x14ac:dyDescent="0.3">
      <c r="A3" s="6" t="s">
        <v>178</v>
      </c>
      <c r="B3" s="6" t="s">
        <v>15</v>
      </c>
      <c r="C3">
        <v>34</v>
      </c>
      <c r="D3" t="s">
        <v>16</v>
      </c>
      <c r="E3" s="7">
        <v>44642</v>
      </c>
      <c r="F3" s="6" t="s">
        <v>9</v>
      </c>
      <c r="G3" s="40">
        <v>112650</v>
      </c>
      <c r="H3" t="s">
        <v>205</v>
      </c>
      <c r="I3" s="9">
        <f ca="1">(TODAY()-All_Staff[[#This Row],[Date Joined]])/365</f>
        <v>3.8219178082191783</v>
      </c>
      <c r="J3" s="41">
        <f>ROUNDUP(IF(All_Staff[[#This Row],[Salary]]&gt;2,3%,2%)*All_Staff[[#This Row],[Salary]],0)</f>
        <v>3380</v>
      </c>
      <c r="K3" s="46">
        <f>_xlfn.XLOOKUP(All_Staff[[#This Row],[Rating]],'Salary Vs Rating'!$E$2:$E$6,'Salary Vs Rating'!$F$2:$F$6)</f>
        <v>3</v>
      </c>
      <c r="L3" s="41"/>
      <c r="M3" s="41"/>
      <c r="N3" s="9"/>
      <c r="P3" s="15" t="s">
        <v>210</v>
      </c>
      <c r="Q3" s="15"/>
      <c r="R3" s="15"/>
      <c r="S3" s="15"/>
      <c r="T3" s="17">
        <f>AVERAGE(All_Staff[Salary])</f>
        <v>77173.715846994543</v>
      </c>
      <c r="U3" s="16">
        <f>MEDIAN(All_Staff[Salary])</f>
        <v>75000</v>
      </c>
    </row>
    <row r="4" spans="1:22" x14ac:dyDescent="0.3">
      <c r="A4" s="6" t="s">
        <v>150</v>
      </c>
      <c r="B4" s="6" t="s">
        <v>15</v>
      </c>
      <c r="C4">
        <v>22</v>
      </c>
      <c r="D4" t="s">
        <v>13</v>
      </c>
      <c r="E4" s="7">
        <v>44384</v>
      </c>
      <c r="F4" s="6" t="s">
        <v>19</v>
      </c>
      <c r="G4" s="40">
        <v>112780</v>
      </c>
      <c r="H4" t="s">
        <v>205</v>
      </c>
      <c r="I4" s="9">
        <f ca="1">(TODAY()-All_Staff[[#This Row],[Date Joined]])/365</f>
        <v>4.5287671232876709</v>
      </c>
      <c r="J4" s="41">
        <f>ROUNDUP(IF(All_Staff[[#This Row],[Salary]]&gt;2,3%,2%)*All_Staff[[#This Row],[Salary]],0)</f>
        <v>3384</v>
      </c>
      <c r="K4" s="46">
        <f>_xlfn.XLOOKUP(All_Staff[[#This Row],[Rating]],'Salary Vs Rating'!$E$2:$E$6,'Salary Vs Rating'!$F$2:$F$6)</f>
        <v>4</v>
      </c>
      <c r="L4" s="41"/>
      <c r="M4" s="41"/>
      <c r="N4" s="9"/>
      <c r="P4" s="15" t="s">
        <v>211</v>
      </c>
      <c r="Q4" s="15"/>
      <c r="R4" s="15"/>
      <c r="S4" s="15"/>
      <c r="T4" s="16">
        <f>AVERAGE(All_Staff[Age])</f>
        <v>30.42622950819672</v>
      </c>
      <c r="U4" s="16">
        <f>MEDIAN(All_Staff[Age])</f>
        <v>30</v>
      </c>
    </row>
    <row r="5" spans="1:22" x14ac:dyDescent="0.3">
      <c r="A5" s="6" t="s">
        <v>58</v>
      </c>
      <c r="B5" s="6" t="s">
        <v>15</v>
      </c>
      <c r="C5">
        <v>22</v>
      </c>
      <c r="D5" t="s">
        <v>13</v>
      </c>
      <c r="E5" s="7">
        <v>44446</v>
      </c>
      <c r="F5" s="6" t="s">
        <v>19</v>
      </c>
      <c r="G5" s="40">
        <v>112780</v>
      </c>
      <c r="H5" t="s">
        <v>207</v>
      </c>
      <c r="I5" s="9">
        <f ca="1">(TODAY()-All_Staff[[#This Row],[Date Joined]])/365</f>
        <v>4.3589041095890408</v>
      </c>
      <c r="J5" s="41">
        <f>ROUNDUP(IF(All_Staff[[#This Row],[Salary]]&gt;2,3%,2%)*All_Staff[[#This Row],[Salary]],0)</f>
        <v>3384</v>
      </c>
      <c r="K5" s="46">
        <f>_xlfn.XLOOKUP(All_Staff[[#This Row],[Rating]],'Salary Vs Rating'!$E$2:$E$6,'Salary Vs Rating'!$F$2:$F$6)</f>
        <v>4</v>
      </c>
      <c r="L5" s="41"/>
      <c r="M5" s="41"/>
      <c r="N5" s="9"/>
      <c r="P5" s="15" t="s">
        <v>212</v>
      </c>
      <c r="Q5" s="15"/>
      <c r="R5" s="15"/>
      <c r="S5" s="15"/>
      <c r="T5" s="16">
        <f ca="1">AVERAGE(All_Staff[Tenure])</f>
        <v>4.3944307208623403</v>
      </c>
      <c r="U5" s="16">
        <f ca="1">MEDIAN(All_Staff[Tenure])</f>
        <v>4.4164383561643836</v>
      </c>
    </row>
    <row r="6" spans="1:22" x14ac:dyDescent="0.3">
      <c r="A6" s="6" t="s">
        <v>64</v>
      </c>
      <c r="B6" s="6" t="s">
        <v>15</v>
      </c>
      <c r="C6">
        <v>20</v>
      </c>
      <c r="D6" t="s">
        <v>16</v>
      </c>
      <c r="E6" s="7">
        <v>44183</v>
      </c>
      <c r="F6" s="6" t="s">
        <v>12</v>
      </c>
      <c r="G6" s="40">
        <v>112650</v>
      </c>
      <c r="H6" t="s">
        <v>207</v>
      </c>
      <c r="I6" s="9">
        <f ca="1">(TODAY()-All_Staff[[#This Row],[Date Joined]])/365</f>
        <v>5.0794520547945208</v>
      </c>
      <c r="J6" s="41">
        <f>ROUNDUP(IF(All_Staff[[#This Row],[Salary]]&gt;2,3%,2%)*All_Staff[[#This Row],[Salary]],0)</f>
        <v>3380</v>
      </c>
      <c r="K6" s="46">
        <f>_xlfn.XLOOKUP(All_Staff[[#This Row],[Rating]],'Salary Vs Rating'!$E$2:$E$6,'Salary Vs Rating'!$F$2:$F$6)</f>
        <v>3</v>
      </c>
      <c r="L6" s="41"/>
      <c r="M6" s="41"/>
      <c r="N6" s="9"/>
      <c r="P6" s="15" t="s">
        <v>213</v>
      </c>
      <c r="Q6" s="15"/>
      <c r="R6" s="15"/>
      <c r="S6" s="15"/>
      <c r="T6" s="18">
        <f>T7/T2</f>
        <v>0.46994535519125685</v>
      </c>
      <c r="U6" s="16"/>
    </row>
    <row r="7" spans="1:22" x14ac:dyDescent="0.3">
      <c r="A7" s="6" t="s">
        <v>176</v>
      </c>
      <c r="B7" s="6" t="s">
        <v>8</v>
      </c>
      <c r="C7">
        <v>32</v>
      </c>
      <c r="D7" t="s">
        <v>13</v>
      </c>
      <c r="E7" s="7">
        <v>44293</v>
      </c>
      <c r="F7" s="6" t="s">
        <v>12</v>
      </c>
      <c r="G7" s="40">
        <v>43840</v>
      </c>
      <c r="H7" t="s">
        <v>205</v>
      </c>
      <c r="I7" s="9">
        <f ca="1">(TODAY()-All_Staff[[#This Row],[Date Joined]])/365</f>
        <v>4.7780821917808218</v>
      </c>
      <c r="J7" s="41">
        <f>ROUNDUP(IF(All_Staff[[#This Row],[Salary]]&gt;2,3%,2%)*All_Staff[[#This Row],[Salary]],0)</f>
        <v>1316</v>
      </c>
      <c r="K7" s="46">
        <f>_xlfn.XLOOKUP(All_Staff[[#This Row],[Rating]],'Salary Vs Rating'!$E$2:$E$6,'Salary Vs Rating'!$F$2:$F$6)</f>
        <v>4</v>
      </c>
      <c r="L7" s="41"/>
      <c r="M7" s="41"/>
      <c r="N7" s="9"/>
      <c r="P7" s="15" t="s">
        <v>217</v>
      </c>
      <c r="Q7" s="15"/>
      <c r="R7" s="15"/>
      <c r="S7" s="15"/>
      <c r="T7" s="16">
        <f>COUNTIFS(All_Staff[Gender],"Female")</f>
        <v>86</v>
      </c>
      <c r="U7" s="16"/>
    </row>
    <row r="8" spans="1:22" x14ac:dyDescent="0.3">
      <c r="A8" s="6" t="s">
        <v>143</v>
      </c>
      <c r="B8" s="6" t="s">
        <v>15</v>
      </c>
      <c r="C8">
        <v>31</v>
      </c>
      <c r="D8" t="s">
        <v>16</v>
      </c>
      <c r="E8" s="7">
        <v>44663</v>
      </c>
      <c r="F8" s="6" t="s">
        <v>9</v>
      </c>
      <c r="G8" s="40">
        <v>103550</v>
      </c>
      <c r="H8" t="s">
        <v>205</v>
      </c>
      <c r="I8" s="9">
        <f ca="1">(TODAY()-All_Staff[[#This Row],[Date Joined]])/365</f>
        <v>3.7643835616438355</v>
      </c>
      <c r="J8" s="41">
        <f>ROUNDUP(IF(All_Staff[[#This Row],[Salary]]&gt;2,3%,2%)*All_Staff[[#This Row],[Salary]],0)</f>
        <v>3107</v>
      </c>
      <c r="K8" s="46">
        <f>_xlfn.XLOOKUP(All_Staff[[#This Row],[Rating]],'Salary Vs Rating'!$E$2:$E$6,'Salary Vs Rating'!$F$2:$F$6)</f>
        <v>3</v>
      </c>
      <c r="L8" s="41"/>
      <c r="M8" s="41"/>
      <c r="N8" s="9"/>
      <c r="P8" s="15" t="s">
        <v>218</v>
      </c>
      <c r="Q8" s="15"/>
      <c r="R8" s="15"/>
      <c r="S8" s="15"/>
      <c r="T8" s="11">
        <f>T9/T2</f>
        <v>0.48633879781420764</v>
      </c>
      <c r="U8" s="16"/>
    </row>
    <row r="9" spans="1:22" x14ac:dyDescent="0.3">
      <c r="A9" s="6" t="s">
        <v>201</v>
      </c>
      <c r="B9" s="6" t="s">
        <v>8</v>
      </c>
      <c r="C9">
        <v>32</v>
      </c>
      <c r="D9" t="s">
        <v>16</v>
      </c>
      <c r="E9" s="7">
        <v>44339</v>
      </c>
      <c r="F9" s="6" t="s">
        <v>56</v>
      </c>
      <c r="G9" s="40">
        <v>45510</v>
      </c>
      <c r="H9" t="s">
        <v>205</v>
      </c>
      <c r="I9" s="9">
        <f ca="1">(TODAY()-All_Staff[[#This Row],[Date Joined]])/365</f>
        <v>4.6520547945205477</v>
      </c>
      <c r="J9" s="41">
        <f>ROUNDUP(IF(All_Staff[[#This Row],[Salary]]&gt;2,3%,2%)*All_Staff[[#This Row],[Salary]],0)</f>
        <v>1366</v>
      </c>
      <c r="K9" s="46">
        <f>_xlfn.XLOOKUP(All_Staff[[#This Row],[Rating]],'Salary Vs Rating'!$E$2:$E$6,'Salary Vs Rating'!$F$2:$F$6)</f>
        <v>3</v>
      </c>
      <c r="L9" s="41"/>
      <c r="M9" s="41"/>
      <c r="N9" s="9"/>
      <c r="P9" s="15" t="s">
        <v>219</v>
      </c>
      <c r="Q9" s="15"/>
      <c r="R9" s="15"/>
      <c r="S9" s="15"/>
      <c r="T9" s="16">
        <f>COUNTIFS(All_Staff[Gender],"Male")</f>
        <v>89</v>
      </c>
      <c r="U9" s="16"/>
    </row>
    <row r="10" spans="1:22" x14ac:dyDescent="0.3">
      <c r="A10" s="6" t="s">
        <v>142</v>
      </c>
      <c r="B10" s="6" t="s">
        <v>206</v>
      </c>
      <c r="C10">
        <v>37</v>
      </c>
      <c r="D10" t="s">
        <v>24</v>
      </c>
      <c r="E10" s="7">
        <v>44085</v>
      </c>
      <c r="F10" s="6" t="s">
        <v>21</v>
      </c>
      <c r="G10" s="40">
        <v>115440</v>
      </c>
      <c r="H10" t="s">
        <v>205</v>
      </c>
      <c r="I10" s="9">
        <f ca="1">(TODAY()-All_Staff[[#This Row],[Date Joined]])/365</f>
        <v>5.3479452054794523</v>
      </c>
      <c r="J10" s="41">
        <f>ROUNDUP(IF(All_Staff[[#This Row],[Salary]]&gt;2,3%,2%)*All_Staff[[#This Row],[Salary]],0)</f>
        <v>3464</v>
      </c>
      <c r="K10" s="46">
        <f>_xlfn.XLOOKUP(All_Staff[[#This Row],[Rating]],'Salary Vs Rating'!$E$2:$E$6,'Salary Vs Rating'!$F$2:$F$6)</f>
        <v>2</v>
      </c>
      <c r="L10" s="41"/>
      <c r="M10" s="41"/>
      <c r="N10" s="9"/>
      <c r="P10" s="15" t="s">
        <v>220</v>
      </c>
      <c r="Q10" s="15"/>
      <c r="R10" s="15"/>
      <c r="S10" s="15"/>
      <c r="T10" s="11">
        <f>T11/T2</f>
        <v>4.3715846994535519E-2</v>
      </c>
      <c r="U10" s="16"/>
    </row>
    <row r="11" spans="1:22" x14ac:dyDescent="0.3">
      <c r="A11" s="6" t="s">
        <v>202</v>
      </c>
      <c r="B11" s="6" t="s">
        <v>8</v>
      </c>
      <c r="C11">
        <v>38</v>
      </c>
      <c r="D11" t="s">
        <v>13</v>
      </c>
      <c r="E11" s="7">
        <v>44268</v>
      </c>
      <c r="F11" s="6" t="s">
        <v>19</v>
      </c>
      <c r="G11" s="40">
        <v>56870</v>
      </c>
      <c r="H11" t="s">
        <v>205</v>
      </c>
      <c r="I11" s="9">
        <f ca="1">(TODAY()-All_Staff[[#This Row],[Date Joined]])/365</f>
        <v>4.8465753424657532</v>
      </c>
      <c r="J11" s="41">
        <f>ROUNDUP(IF(All_Staff[[#This Row],[Salary]]&gt;2,3%,2%)*All_Staff[[#This Row],[Salary]],0)</f>
        <v>1707</v>
      </c>
      <c r="K11" s="46">
        <f>_xlfn.XLOOKUP(All_Staff[[#This Row],[Rating]],'Salary Vs Rating'!$E$2:$E$6,'Salary Vs Rating'!$F$2:$F$6)</f>
        <v>4</v>
      </c>
      <c r="L11" s="41"/>
      <c r="M11" s="41"/>
      <c r="N11" s="9"/>
      <c r="P11" s="15" t="s">
        <v>221</v>
      </c>
      <c r="Q11" s="15"/>
      <c r="R11" s="15"/>
      <c r="S11" s="15"/>
      <c r="T11" s="16">
        <f>T2-(T9+T7)</f>
        <v>8</v>
      </c>
      <c r="U11" s="16"/>
    </row>
    <row r="12" spans="1:22" x14ac:dyDescent="0.3">
      <c r="A12" s="6" t="s">
        <v>169</v>
      </c>
      <c r="B12" s="6" t="s">
        <v>8</v>
      </c>
      <c r="C12">
        <v>25</v>
      </c>
      <c r="D12" t="s">
        <v>16</v>
      </c>
      <c r="E12" s="7">
        <v>44144</v>
      </c>
      <c r="F12" s="6" t="s">
        <v>19</v>
      </c>
      <c r="G12" s="40">
        <v>92700</v>
      </c>
      <c r="H12" t="s">
        <v>205</v>
      </c>
      <c r="I12" s="9">
        <f ca="1">(TODAY()-All_Staff[[#This Row],[Date Joined]])/365</f>
        <v>5.1863013698630134</v>
      </c>
      <c r="J12" s="41">
        <f>ROUNDUP(IF(All_Staff[[#This Row],[Salary]]&gt;2,3%,2%)*All_Staff[[#This Row],[Salary]],0)</f>
        <v>2781</v>
      </c>
      <c r="K12" s="46">
        <f>_xlfn.XLOOKUP(All_Staff[[#This Row],[Rating]],'Salary Vs Rating'!$E$2:$E$6,'Salary Vs Rating'!$F$2:$F$6)</f>
        <v>3</v>
      </c>
      <c r="L12" s="41"/>
      <c r="M12" s="41"/>
      <c r="N12" s="9"/>
      <c r="P12" s="15" t="s">
        <v>223</v>
      </c>
      <c r="Q12" s="15"/>
      <c r="R12" s="15"/>
      <c r="S12" s="15"/>
      <c r="T12" s="16">
        <f>SUM(All_Staff[Salary])</f>
        <v>14122790</v>
      </c>
      <c r="U12" s="16"/>
    </row>
    <row r="13" spans="1:22" x14ac:dyDescent="0.3">
      <c r="A13" s="6" t="s">
        <v>145</v>
      </c>
      <c r="B13" s="6" t="s">
        <v>206</v>
      </c>
      <c r="C13">
        <v>32</v>
      </c>
      <c r="D13" t="s">
        <v>16</v>
      </c>
      <c r="E13" s="7">
        <v>44713</v>
      </c>
      <c r="F13" s="6" t="s">
        <v>12</v>
      </c>
      <c r="G13" s="40">
        <v>91310</v>
      </c>
      <c r="H13" t="s">
        <v>205</v>
      </c>
      <c r="I13" s="9">
        <f ca="1">(TODAY()-All_Staff[[#This Row],[Date Joined]])/365</f>
        <v>3.6273972602739728</v>
      </c>
      <c r="J13" s="41">
        <f>ROUNDUP(IF(All_Staff[[#This Row],[Salary]]&gt;2,3%,2%)*All_Staff[[#This Row],[Salary]],0)</f>
        <v>2740</v>
      </c>
      <c r="K13" s="46">
        <f>_xlfn.XLOOKUP(All_Staff[[#This Row],[Rating]],'Salary Vs Rating'!$E$2:$E$6,'Salary Vs Rating'!$F$2:$F$6)</f>
        <v>3</v>
      </c>
      <c r="L13" s="41"/>
      <c r="M13" s="41"/>
      <c r="N13" s="9"/>
      <c r="P13" s="15" t="s">
        <v>222</v>
      </c>
      <c r="Q13" s="15"/>
      <c r="R13" s="15"/>
      <c r="S13" s="15"/>
      <c r="T13" s="11">
        <f>T14/T12</f>
        <v>0.47473834844248197</v>
      </c>
      <c r="U13" s="16"/>
    </row>
    <row r="14" spans="1:22" x14ac:dyDescent="0.3">
      <c r="A14" s="6" t="s">
        <v>115</v>
      </c>
      <c r="B14" s="6" t="s">
        <v>15</v>
      </c>
      <c r="C14">
        <v>33</v>
      </c>
      <c r="D14" t="s">
        <v>16</v>
      </c>
      <c r="E14" s="7">
        <v>44324</v>
      </c>
      <c r="F14" s="6" t="s">
        <v>19</v>
      </c>
      <c r="G14" s="40">
        <v>74550</v>
      </c>
      <c r="H14" t="s">
        <v>205</v>
      </c>
      <c r="I14" s="9">
        <f ca="1">(TODAY()-All_Staff[[#This Row],[Date Joined]])/365</f>
        <v>4.6931506849315072</v>
      </c>
      <c r="J14" s="41">
        <f>ROUNDUP(IF(All_Staff[[#This Row],[Salary]]&gt;2,3%,2%)*All_Staff[[#This Row],[Salary]],0)</f>
        <v>2237</v>
      </c>
      <c r="K14" s="46">
        <f>_xlfn.XLOOKUP(All_Staff[[#This Row],[Rating]],'Salary Vs Rating'!$E$2:$E$6,'Salary Vs Rating'!$F$2:$F$6)</f>
        <v>3</v>
      </c>
      <c r="L14" s="41"/>
      <c r="M14" s="41"/>
      <c r="N14" s="9"/>
      <c r="P14" s="15" t="s">
        <v>224</v>
      </c>
      <c r="Q14" s="15"/>
      <c r="R14" s="15"/>
      <c r="S14" s="15"/>
      <c r="T14" s="16">
        <f>SUMIF(All_Staff[Salary],"&gt;90000")</f>
        <v>6704630</v>
      </c>
      <c r="U14" s="16"/>
    </row>
    <row r="15" spans="1:22" x14ac:dyDescent="0.3">
      <c r="A15" s="6" t="s">
        <v>128</v>
      </c>
      <c r="B15" s="6" t="s">
        <v>15</v>
      </c>
      <c r="C15">
        <v>25</v>
      </c>
      <c r="D15" t="s">
        <v>13</v>
      </c>
      <c r="E15" s="7">
        <v>44665</v>
      </c>
      <c r="F15" s="6" t="s">
        <v>9</v>
      </c>
      <c r="G15" s="40">
        <v>109190</v>
      </c>
      <c r="H15" t="s">
        <v>205</v>
      </c>
      <c r="I15" s="9">
        <f ca="1">(TODAY()-All_Staff[[#This Row],[Date Joined]])/365</f>
        <v>3.7589041095890412</v>
      </c>
      <c r="J15" s="41">
        <f>ROUNDUP(IF(All_Staff[[#This Row],[Salary]]&gt;2,3%,2%)*All_Staff[[#This Row],[Salary]],0)</f>
        <v>3276</v>
      </c>
      <c r="K15" s="46">
        <f>_xlfn.XLOOKUP(All_Staff[[#This Row],[Rating]],'Salary Vs Rating'!$E$2:$E$6,'Salary Vs Rating'!$F$2:$F$6)</f>
        <v>4</v>
      </c>
      <c r="L15" s="41"/>
      <c r="M15" s="41"/>
      <c r="N15" s="9"/>
      <c r="P15" s="20"/>
      <c r="Q15" s="20"/>
      <c r="R15" s="20"/>
      <c r="S15" s="20"/>
      <c r="T15" s="12"/>
      <c r="U15" s="12"/>
    </row>
    <row r="16" spans="1:22" x14ac:dyDescent="0.3">
      <c r="A16" s="6" t="s">
        <v>194</v>
      </c>
      <c r="B16" s="6" t="s">
        <v>8</v>
      </c>
      <c r="C16">
        <v>40</v>
      </c>
      <c r="D16" t="s">
        <v>16</v>
      </c>
      <c r="E16" s="7">
        <v>44320</v>
      </c>
      <c r="F16" s="6" t="s">
        <v>12</v>
      </c>
      <c r="G16" s="40">
        <v>104410</v>
      </c>
      <c r="H16" t="s">
        <v>205</v>
      </c>
      <c r="I16" s="9">
        <f ca="1">(TODAY()-All_Staff[[#This Row],[Date Joined]])/365</f>
        <v>4.7041095890410958</v>
      </c>
      <c r="J16" s="41">
        <f>ROUNDUP(IF(All_Staff[[#This Row],[Salary]]&gt;2,3%,2%)*All_Staff[[#This Row],[Salary]],0)</f>
        <v>3133</v>
      </c>
      <c r="K16" s="46">
        <f>_xlfn.XLOOKUP(All_Staff[[#This Row],[Rating]],'Salary Vs Rating'!$E$2:$E$6,'Salary Vs Rating'!$F$2:$F$6)</f>
        <v>3</v>
      </c>
      <c r="L16" s="41"/>
      <c r="M16" s="41"/>
      <c r="N16" s="9"/>
      <c r="Q16" s="20"/>
      <c r="R16" s="20"/>
      <c r="S16" s="20"/>
      <c r="T16" s="20"/>
      <c r="U16" s="12"/>
      <c r="V16" s="12"/>
    </row>
    <row r="17" spans="1:18" x14ac:dyDescent="0.3">
      <c r="A17" s="6" t="s">
        <v>177</v>
      </c>
      <c r="B17" s="6" t="s">
        <v>15</v>
      </c>
      <c r="C17">
        <v>30</v>
      </c>
      <c r="D17" t="s">
        <v>16</v>
      </c>
      <c r="E17" s="7">
        <v>44544</v>
      </c>
      <c r="F17" s="6" t="s">
        <v>21</v>
      </c>
      <c r="G17" s="40">
        <v>96800</v>
      </c>
      <c r="H17" t="s">
        <v>205</v>
      </c>
      <c r="I17" s="9">
        <f ca="1">(TODAY()-All_Staff[[#This Row],[Date Joined]])/365</f>
        <v>4.0904109589041093</v>
      </c>
      <c r="J17" s="41">
        <f>ROUNDUP(IF(All_Staff[[#This Row],[Salary]]&gt;2,3%,2%)*All_Staff[[#This Row],[Salary]],0)</f>
        <v>2904</v>
      </c>
      <c r="K17" s="46">
        <f>_xlfn.XLOOKUP(All_Staff[[#This Row],[Rating]],'Salary Vs Rating'!$E$2:$E$6,'Salary Vs Rating'!$F$2:$F$6)</f>
        <v>3</v>
      </c>
      <c r="L17" s="41"/>
      <c r="M17" s="41"/>
      <c r="N17" s="9"/>
      <c r="O17" s="22">
        <v>2</v>
      </c>
      <c r="P17" s="26" t="s">
        <v>159</v>
      </c>
      <c r="Q17" s="26"/>
      <c r="R17" s="26"/>
    </row>
    <row r="18" spans="1:18" x14ac:dyDescent="0.3">
      <c r="A18" s="6" t="s">
        <v>123</v>
      </c>
      <c r="B18" s="6" t="s">
        <v>15</v>
      </c>
      <c r="C18">
        <v>28</v>
      </c>
      <c r="D18" t="s">
        <v>13</v>
      </c>
      <c r="E18" s="7">
        <v>43980</v>
      </c>
      <c r="F18" s="6" t="s">
        <v>21</v>
      </c>
      <c r="G18" s="40">
        <v>48170</v>
      </c>
      <c r="H18" t="s">
        <v>205</v>
      </c>
      <c r="I18" s="9">
        <f ca="1">(TODAY()-All_Staff[[#This Row],[Date Joined]])/365</f>
        <v>5.6356164383561644</v>
      </c>
      <c r="J18" s="41">
        <f>ROUNDUP(IF(All_Staff[[#This Row],[Salary]]&gt;2,3%,2%)*All_Staff[[#This Row],[Salary]],0)</f>
        <v>1446</v>
      </c>
      <c r="K18" s="46">
        <f>_xlfn.XLOOKUP(All_Staff[[#This Row],[Rating]],'Salary Vs Rating'!$E$2:$E$6,'Salary Vs Rating'!$F$2:$F$6)</f>
        <v>4</v>
      </c>
      <c r="L18" s="41"/>
      <c r="M18" s="41"/>
      <c r="N18" s="9"/>
      <c r="O18" s="22"/>
      <c r="P18" s="26"/>
      <c r="Q18" s="26"/>
      <c r="R18" s="26"/>
    </row>
    <row r="19" spans="1:18" x14ac:dyDescent="0.3">
      <c r="A19" s="6" t="s">
        <v>140</v>
      </c>
      <c r="B19" s="6" t="s">
        <v>15</v>
      </c>
      <c r="C19">
        <v>21</v>
      </c>
      <c r="D19" t="s">
        <v>16</v>
      </c>
      <c r="E19" s="7">
        <v>44042</v>
      </c>
      <c r="F19" s="6" t="s">
        <v>9</v>
      </c>
      <c r="G19" s="40">
        <v>37920</v>
      </c>
      <c r="H19" t="s">
        <v>205</v>
      </c>
      <c r="I19" s="9">
        <f ca="1">(TODAY()-All_Staff[[#This Row],[Date Joined]])/365</f>
        <v>5.4657534246575343</v>
      </c>
      <c r="J19" s="41">
        <f>ROUNDUP(IF(All_Staff[[#This Row],[Salary]]&gt;2,3%,2%)*All_Staff[[#This Row],[Salary]],0)</f>
        <v>1138</v>
      </c>
      <c r="K19" s="46">
        <f>_xlfn.XLOOKUP(All_Staff[[#This Row],[Rating]],'Salary Vs Rating'!$E$2:$E$6,'Salary Vs Rating'!$F$2:$F$6)</f>
        <v>3</v>
      </c>
      <c r="L19" s="41"/>
      <c r="M19" s="41"/>
      <c r="N19" s="9"/>
      <c r="P19" s="16"/>
      <c r="Q19" s="16"/>
      <c r="R19" s="16"/>
    </row>
    <row r="20" spans="1:18" x14ac:dyDescent="0.3">
      <c r="A20" s="6" t="s">
        <v>165</v>
      </c>
      <c r="B20" s="6" t="s">
        <v>8</v>
      </c>
      <c r="C20">
        <v>34</v>
      </c>
      <c r="D20" t="s">
        <v>24</v>
      </c>
      <c r="E20" s="7">
        <v>44660</v>
      </c>
      <c r="F20" s="6" t="s">
        <v>19</v>
      </c>
      <c r="G20" s="40">
        <v>49630</v>
      </c>
      <c r="H20" t="s">
        <v>205</v>
      </c>
      <c r="I20" s="9">
        <f ca="1">(TODAY()-All_Staff[[#This Row],[Date Joined]])/365</f>
        <v>3.7726027397260276</v>
      </c>
      <c r="J20" s="41">
        <f>ROUNDUP(IF(All_Staff[[#This Row],[Salary]]&gt;2,3%,2%)*All_Staff[[#This Row],[Salary]],0)</f>
        <v>1489</v>
      </c>
      <c r="K20" s="46">
        <f>_xlfn.XLOOKUP(All_Staff[[#This Row],[Rating]],'Salary Vs Rating'!$E$2:$E$6,'Salary Vs Rating'!$F$2:$F$6)</f>
        <v>2</v>
      </c>
      <c r="L20" s="41"/>
      <c r="M20" s="41"/>
      <c r="N20" s="9"/>
      <c r="P20" s="25" t="s">
        <v>1</v>
      </c>
      <c r="Q20" s="25"/>
      <c r="R20" s="23" t="str" cm="1">
        <f t="array" aca="1" ref="R20:R27" ca="1">TRANSPOSE(_xlfn.XLOOKUP(P17,All_Staff[Name],All_Staff[[Gender]:[Tenure]],"Not Found",0,1))</f>
        <v>Male</v>
      </c>
    </row>
    <row r="21" spans="1:18" x14ac:dyDescent="0.3">
      <c r="A21" s="6" t="s">
        <v>199</v>
      </c>
      <c r="B21" s="6" t="s">
        <v>15</v>
      </c>
      <c r="C21">
        <v>36</v>
      </c>
      <c r="D21" t="s">
        <v>16</v>
      </c>
      <c r="E21" s="7">
        <v>43958</v>
      </c>
      <c r="F21" s="6" t="s">
        <v>12</v>
      </c>
      <c r="G21" s="40">
        <v>118840</v>
      </c>
      <c r="H21" t="s">
        <v>205</v>
      </c>
      <c r="I21" s="9">
        <f ca="1">(TODAY()-All_Staff[[#This Row],[Date Joined]])/365</f>
        <v>5.6958904109589037</v>
      </c>
      <c r="J21" s="41">
        <f>ROUNDUP(IF(All_Staff[[#This Row],[Salary]]&gt;2,3%,2%)*All_Staff[[#This Row],[Salary]],0)</f>
        <v>3566</v>
      </c>
      <c r="K21" s="46">
        <f>_xlfn.XLOOKUP(All_Staff[[#This Row],[Rating]],'Salary Vs Rating'!$E$2:$E$6,'Salary Vs Rating'!$F$2:$F$6)</f>
        <v>3</v>
      </c>
      <c r="L21" s="41"/>
      <c r="M21" s="41"/>
      <c r="N21" s="9"/>
      <c r="P21" s="25" t="s">
        <v>3</v>
      </c>
      <c r="Q21" s="25"/>
      <c r="R21" s="23">
        <f ca="1"/>
        <v>30</v>
      </c>
    </row>
    <row r="22" spans="1:18" x14ac:dyDescent="0.3">
      <c r="A22" s="6" t="s">
        <v>159</v>
      </c>
      <c r="B22" s="6" t="s">
        <v>15</v>
      </c>
      <c r="C22">
        <v>30</v>
      </c>
      <c r="D22" t="s">
        <v>16</v>
      </c>
      <c r="E22" s="7">
        <v>44789</v>
      </c>
      <c r="F22" s="6" t="s">
        <v>12</v>
      </c>
      <c r="G22" s="40">
        <v>69710</v>
      </c>
      <c r="H22" t="s">
        <v>205</v>
      </c>
      <c r="I22" s="9">
        <f ca="1">(TODAY()-All_Staff[[#This Row],[Date Joined]])/365</f>
        <v>3.419178082191781</v>
      </c>
      <c r="J22" s="41">
        <f>ROUNDUP(IF(All_Staff[[#This Row],[Salary]]&gt;2,3%,2%)*All_Staff[[#This Row],[Salary]],0)</f>
        <v>2092</v>
      </c>
      <c r="K22" s="46">
        <f>_xlfn.XLOOKUP(All_Staff[[#This Row],[Rating]],'Salary Vs Rating'!$E$2:$E$6,'Salary Vs Rating'!$F$2:$F$6)</f>
        <v>3</v>
      </c>
      <c r="L22" s="41"/>
      <c r="M22" s="41"/>
      <c r="N22" s="9"/>
      <c r="P22" s="25" t="s">
        <v>6</v>
      </c>
      <c r="Q22" s="25"/>
      <c r="R22" s="23" t="str">
        <f ca="1"/>
        <v>Average</v>
      </c>
    </row>
    <row r="23" spans="1:18" x14ac:dyDescent="0.3">
      <c r="A23" s="6" t="s">
        <v>197</v>
      </c>
      <c r="B23" s="6" t="s">
        <v>15</v>
      </c>
      <c r="C23">
        <v>20</v>
      </c>
      <c r="D23" t="s">
        <v>16</v>
      </c>
      <c r="E23" s="7">
        <v>44683</v>
      </c>
      <c r="F23" s="6" t="s">
        <v>9</v>
      </c>
      <c r="G23" s="40">
        <v>79570</v>
      </c>
      <c r="H23" t="s">
        <v>205</v>
      </c>
      <c r="I23" s="9">
        <f ca="1">(TODAY()-All_Staff[[#This Row],[Date Joined]])/365</f>
        <v>3.7095890410958905</v>
      </c>
      <c r="J23" s="41">
        <f>ROUNDUP(IF(All_Staff[[#This Row],[Salary]]&gt;2,3%,2%)*All_Staff[[#This Row],[Salary]],0)</f>
        <v>2388</v>
      </c>
      <c r="K23" s="46">
        <f>_xlfn.XLOOKUP(All_Staff[[#This Row],[Rating]],'Salary Vs Rating'!$E$2:$E$6,'Salary Vs Rating'!$F$2:$F$6)</f>
        <v>3</v>
      </c>
      <c r="L23" s="41"/>
      <c r="M23" s="41"/>
      <c r="N23" s="9"/>
      <c r="P23" s="25" t="s">
        <v>225</v>
      </c>
      <c r="Q23" s="25"/>
      <c r="R23" s="27">
        <f ca="1"/>
        <v>44789</v>
      </c>
    </row>
    <row r="24" spans="1:18" x14ac:dyDescent="0.3">
      <c r="A24" s="6" t="s">
        <v>154</v>
      </c>
      <c r="B24" s="6" t="s">
        <v>8</v>
      </c>
      <c r="C24">
        <v>22</v>
      </c>
      <c r="D24" t="s">
        <v>13</v>
      </c>
      <c r="E24" s="7">
        <v>44388</v>
      </c>
      <c r="F24" s="6" t="s">
        <v>9</v>
      </c>
      <c r="G24" s="40">
        <v>76900</v>
      </c>
      <c r="H24" t="s">
        <v>205</v>
      </c>
      <c r="I24" s="9">
        <f ca="1">(TODAY()-All_Staff[[#This Row],[Date Joined]])/365</f>
        <v>4.5178082191780824</v>
      </c>
      <c r="J24" s="41">
        <f>ROUNDUP(IF(All_Staff[[#This Row],[Salary]]&gt;2,3%,2%)*All_Staff[[#This Row],[Salary]],0)</f>
        <v>2307</v>
      </c>
      <c r="K24" s="46">
        <f>_xlfn.XLOOKUP(All_Staff[[#This Row],[Rating]],'Salary Vs Rating'!$E$2:$E$6,'Salary Vs Rating'!$F$2:$F$6)</f>
        <v>4</v>
      </c>
      <c r="L24" s="41"/>
      <c r="M24" s="41"/>
      <c r="N24" s="9"/>
      <c r="P24" s="25" t="s">
        <v>2</v>
      </c>
      <c r="Q24" s="25"/>
      <c r="R24" s="23" t="str">
        <f ca="1"/>
        <v>Website</v>
      </c>
    </row>
    <row r="25" spans="1:18" x14ac:dyDescent="0.3">
      <c r="A25" s="6" t="s">
        <v>182</v>
      </c>
      <c r="B25" s="6" t="s">
        <v>15</v>
      </c>
      <c r="C25">
        <v>27</v>
      </c>
      <c r="D25" t="s">
        <v>16</v>
      </c>
      <c r="E25" s="7">
        <v>44073</v>
      </c>
      <c r="F25" s="6" t="s">
        <v>19</v>
      </c>
      <c r="G25" s="40">
        <v>54970</v>
      </c>
      <c r="H25" t="s">
        <v>205</v>
      </c>
      <c r="I25" s="9">
        <f ca="1">(TODAY()-All_Staff[[#This Row],[Date Joined]])/365</f>
        <v>5.3808219178082188</v>
      </c>
      <c r="J25" s="41">
        <f>ROUNDUP(IF(All_Staff[[#This Row],[Salary]]&gt;2,3%,2%)*All_Staff[[#This Row],[Salary]],0)</f>
        <v>1650</v>
      </c>
      <c r="K25" s="46">
        <f>_xlfn.XLOOKUP(All_Staff[[#This Row],[Rating]],'Salary Vs Rating'!$E$2:$E$6,'Salary Vs Rating'!$F$2:$F$6)</f>
        <v>3</v>
      </c>
      <c r="L25" s="41"/>
      <c r="M25" s="41"/>
      <c r="N25" s="9"/>
      <c r="P25" s="25" t="s">
        <v>5</v>
      </c>
      <c r="Q25" s="25"/>
      <c r="R25" s="28">
        <f ca="1"/>
        <v>69710</v>
      </c>
    </row>
    <row r="26" spans="1:18" x14ac:dyDescent="0.3">
      <c r="A26" s="6" t="s">
        <v>118</v>
      </c>
      <c r="B26" s="6" t="s">
        <v>15</v>
      </c>
      <c r="C26">
        <v>37</v>
      </c>
      <c r="D26" t="s">
        <v>24</v>
      </c>
      <c r="E26" s="7">
        <v>44277</v>
      </c>
      <c r="F26" s="6" t="s">
        <v>12</v>
      </c>
      <c r="G26" s="40">
        <v>88050</v>
      </c>
      <c r="H26" t="s">
        <v>205</v>
      </c>
      <c r="I26" s="9">
        <f ca="1">(TODAY()-All_Staff[[#This Row],[Date Joined]])/365</f>
        <v>4.8219178082191778</v>
      </c>
      <c r="J26" s="41">
        <f>ROUNDUP(IF(All_Staff[[#This Row],[Salary]]&gt;2,3%,2%)*All_Staff[[#This Row],[Salary]],0)</f>
        <v>2642</v>
      </c>
      <c r="K26" s="46">
        <f>_xlfn.XLOOKUP(All_Staff[[#This Row],[Rating]],'Salary Vs Rating'!$E$2:$E$6,'Salary Vs Rating'!$F$2:$F$6)</f>
        <v>2</v>
      </c>
      <c r="L26" s="41"/>
      <c r="M26" s="41"/>
      <c r="N26" s="9"/>
      <c r="P26" s="25" t="s">
        <v>204</v>
      </c>
      <c r="Q26" s="25"/>
      <c r="R26" s="23" t="str">
        <f ca="1"/>
        <v>IND</v>
      </c>
    </row>
    <row r="27" spans="1:18" x14ac:dyDescent="0.3">
      <c r="A27" s="6" t="s">
        <v>192</v>
      </c>
      <c r="B27" s="6" t="s">
        <v>15</v>
      </c>
      <c r="C27">
        <v>43</v>
      </c>
      <c r="D27" t="s">
        <v>16</v>
      </c>
      <c r="E27" s="7">
        <v>44558</v>
      </c>
      <c r="F27" s="6" t="s">
        <v>19</v>
      </c>
      <c r="G27" s="40">
        <v>36040</v>
      </c>
      <c r="H27" t="s">
        <v>205</v>
      </c>
      <c r="I27" s="9">
        <f ca="1">(TODAY()-All_Staff[[#This Row],[Date Joined]])/365</f>
        <v>4.0520547945205481</v>
      </c>
      <c r="J27" s="41">
        <f>ROUNDUP(IF(All_Staff[[#This Row],[Salary]]&gt;2,3%,2%)*All_Staff[[#This Row],[Salary]],0)</f>
        <v>1082</v>
      </c>
      <c r="K27" s="46">
        <f>_xlfn.XLOOKUP(All_Staff[[#This Row],[Rating]],'Salary Vs Rating'!$E$2:$E$6,'Salary Vs Rating'!$F$2:$F$6)</f>
        <v>3</v>
      </c>
      <c r="L27" s="41"/>
      <c r="M27" s="41"/>
      <c r="N27" s="9"/>
      <c r="P27" s="25" t="s">
        <v>215</v>
      </c>
      <c r="Q27" s="25"/>
      <c r="R27" s="24">
        <f ca="1"/>
        <v>3.419178082191781</v>
      </c>
    </row>
    <row r="28" spans="1:18" x14ac:dyDescent="0.3">
      <c r="A28" s="6" t="s">
        <v>111</v>
      </c>
      <c r="B28" s="6" t="s">
        <v>8</v>
      </c>
      <c r="C28">
        <v>42</v>
      </c>
      <c r="D28" t="s">
        <v>10</v>
      </c>
      <c r="E28" s="7">
        <v>44718</v>
      </c>
      <c r="F28" s="6" t="s">
        <v>9</v>
      </c>
      <c r="G28" s="40">
        <v>75000</v>
      </c>
      <c r="H28" t="s">
        <v>205</v>
      </c>
      <c r="I28" s="9">
        <f ca="1">(TODAY()-All_Staff[[#This Row],[Date Joined]])/365</f>
        <v>3.6136986301369864</v>
      </c>
      <c r="J28" s="41">
        <f>ROUNDUP(IF(All_Staff[[#This Row],[Salary]]&gt;2,3%,2%)*All_Staff[[#This Row],[Salary]],0)</f>
        <v>2250</v>
      </c>
      <c r="K28" s="46">
        <f>_xlfn.XLOOKUP(All_Staff[[#This Row],[Rating]],'Salary Vs Rating'!$E$2:$E$6,'Salary Vs Rating'!$F$2:$F$6)</f>
        <v>5</v>
      </c>
      <c r="L28" s="41"/>
      <c r="M28" s="41"/>
      <c r="N28" s="9"/>
    </row>
    <row r="29" spans="1:18" x14ac:dyDescent="0.3">
      <c r="A29" s="6" t="s">
        <v>149</v>
      </c>
      <c r="B29" s="6" t="s">
        <v>15</v>
      </c>
      <c r="C29">
        <v>35</v>
      </c>
      <c r="D29" t="s">
        <v>16</v>
      </c>
      <c r="E29" s="7">
        <v>44666</v>
      </c>
      <c r="F29" s="6" t="s">
        <v>9</v>
      </c>
      <c r="G29" s="40">
        <v>40400</v>
      </c>
      <c r="H29" t="s">
        <v>205</v>
      </c>
      <c r="I29" s="9">
        <f ca="1">(TODAY()-All_Staff[[#This Row],[Date Joined]])/365</f>
        <v>3.7561643835616438</v>
      </c>
      <c r="J29" s="41">
        <f>ROUNDUP(IF(All_Staff[[#This Row],[Salary]]&gt;2,3%,2%)*All_Staff[[#This Row],[Salary]],0)</f>
        <v>1212</v>
      </c>
      <c r="K29" s="46">
        <f>_xlfn.XLOOKUP(All_Staff[[#This Row],[Rating]],'Salary Vs Rating'!$E$2:$E$6,'Salary Vs Rating'!$F$2:$F$6)</f>
        <v>3</v>
      </c>
      <c r="L29" s="41"/>
      <c r="M29" s="41"/>
      <c r="N29" s="9"/>
    </row>
    <row r="30" spans="1:18" x14ac:dyDescent="0.3">
      <c r="A30" s="6" t="s">
        <v>196</v>
      </c>
      <c r="B30" s="6" t="s">
        <v>15</v>
      </c>
      <c r="C30">
        <v>24</v>
      </c>
      <c r="D30" t="s">
        <v>16</v>
      </c>
      <c r="E30" s="7">
        <v>44625</v>
      </c>
      <c r="F30" s="6" t="s">
        <v>12</v>
      </c>
      <c r="G30" s="40">
        <v>100420</v>
      </c>
      <c r="H30" t="s">
        <v>205</v>
      </c>
      <c r="I30" s="9">
        <f ca="1">(TODAY()-All_Staff[[#This Row],[Date Joined]])/365</f>
        <v>3.8684931506849316</v>
      </c>
      <c r="J30" s="41">
        <f>ROUNDUP(IF(All_Staff[[#This Row],[Salary]]&gt;2,3%,2%)*All_Staff[[#This Row],[Salary]],0)</f>
        <v>3013</v>
      </c>
      <c r="K30" s="46">
        <f>_xlfn.XLOOKUP(All_Staff[[#This Row],[Rating]],'Salary Vs Rating'!$E$2:$E$6,'Salary Vs Rating'!$F$2:$F$6)</f>
        <v>3</v>
      </c>
      <c r="L30" s="41"/>
      <c r="M30" s="41"/>
      <c r="N30" s="9"/>
    </row>
    <row r="31" spans="1:18" x14ac:dyDescent="0.3">
      <c r="A31" s="6" t="s">
        <v>120</v>
      </c>
      <c r="B31" s="6" t="s">
        <v>8</v>
      </c>
      <c r="C31">
        <v>31</v>
      </c>
      <c r="D31" t="s">
        <v>16</v>
      </c>
      <c r="E31" s="7">
        <v>44604</v>
      </c>
      <c r="F31" s="6" t="s">
        <v>12</v>
      </c>
      <c r="G31" s="40">
        <v>58100</v>
      </c>
      <c r="H31" t="s">
        <v>205</v>
      </c>
      <c r="I31" s="9">
        <f ca="1">(TODAY()-All_Staff[[#This Row],[Date Joined]])/365</f>
        <v>3.9260273972602739</v>
      </c>
      <c r="J31" s="41">
        <f>ROUNDUP(IF(All_Staff[[#This Row],[Salary]]&gt;2,3%,2%)*All_Staff[[#This Row],[Salary]],0)</f>
        <v>1743</v>
      </c>
      <c r="K31" s="46">
        <f>_xlfn.XLOOKUP(All_Staff[[#This Row],[Rating]],'Salary Vs Rating'!$E$2:$E$6,'Salary Vs Rating'!$F$2:$F$6)</f>
        <v>3</v>
      </c>
      <c r="L31" s="41"/>
      <c r="M31" s="41"/>
      <c r="N31" s="9"/>
    </row>
    <row r="32" spans="1:18" x14ac:dyDescent="0.3">
      <c r="A32" s="6" t="s">
        <v>114</v>
      </c>
      <c r="B32" s="6" t="s">
        <v>8</v>
      </c>
      <c r="C32">
        <v>44</v>
      </c>
      <c r="D32" t="s">
        <v>16</v>
      </c>
      <c r="E32" s="7">
        <v>44985</v>
      </c>
      <c r="F32" s="6" t="s">
        <v>12</v>
      </c>
      <c r="G32" s="40">
        <v>114870</v>
      </c>
      <c r="H32" t="s">
        <v>205</v>
      </c>
      <c r="I32" s="9">
        <f ca="1">(TODAY()-All_Staff[[#This Row],[Date Joined]])/365</f>
        <v>2.882191780821918</v>
      </c>
      <c r="J32" s="41">
        <f>ROUNDUP(IF(All_Staff[[#This Row],[Salary]]&gt;2,3%,2%)*All_Staff[[#This Row],[Salary]],0)</f>
        <v>3447</v>
      </c>
      <c r="K32" s="46">
        <f>_xlfn.XLOOKUP(All_Staff[[#This Row],[Rating]],'Salary Vs Rating'!$E$2:$E$6,'Salary Vs Rating'!$F$2:$F$6)</f>
        <v>3</v>
      </c>
      <c r="L32" s="41"/>
      <c r="M32" s="41"/>
      <c r="N32" s="9"/>
    </row>
    <row r="33" spans="1:14" x14ac:dyDescent="0.3">
      <c r="A33" s="6" t="s">
        <v>158</v>
      </c>
      <c r="B33" s="6" t="s">
        <v>8</v>
      </c>
      <c r="C33">
        <v>32</v>
      </c>
      <c r="D33" t="s">
        <v>16</v>
      </c>
      <c r="E33" s="7">
        <v>44549</v>
      </c>
      <c r="F33" s="6" t="s">
        <v>9</v>
      </c>
      <c r="G33" s="40">
        <v>41570</v>
      </c>
      <c r="H33" t="s">
        <v>205</v>
      </c>
      <c r="I33" s="9">
        <f ca="1">(TODAY()-All_Staff[[#This Row],[Date Joined]])/365</f>
        <v>4.0767123287671234</v>
      </c>
      <c r="J33" s="41">
        <f>ROUNDUP(IF(All_Staff[[#This Row],[Salary]]&gt;2,3%,2%)*All_Staff[[#This Row],[Salary]],0)</f>
        <v>1248</v>
      </c>
      <c r="K33" s="46">
        <f>_xlfn.XLOOKUP(All_Staff[[#This Row],[Rating]],'Salary Vs Rating'!$E$2:$E$6,'Salary Vs Rating'!$F$2:$F$6)</f>
        <v>3</v>
      </c>
      <c r="L33" s="41"/>
      <c r="M33" s="41"/>
      <c r="N33" s="9"/>
    </row>
    <row r="34" spans="1:14" x14ac:dyDescent="0.3">
      <c r="A34" s="6" t="s">
        <v>173</v>
      </c>
      <c r="B34" s="6" t="s">
        <v>8</v>
      </c>
      <c r="C34">
        <v>30</v>
      </c>
      <c r="D34" t="s">
        <v>16</v>
      </c>
      <c r="E34" s="7">
        <v>44800</v>
      </c>
      <c r="F34" s="6" t="s">
        <v>9</v>
      </c>
      <c r="G34" s="40">
        <v>112570</v>
      </c>
      <c r="H34" t="s">
        <v>205</v>
      </c>
      <c r="I34" s="9">
        <f ca="1">(TODAY()-All_Staff[[#This Row],[Date Joined]])/365</f>
        <v>3.3890410958904109</v>
      </c>
      <c r="J34" s="41">
        <f>ROUNDUP(IF(All_Staff[[#This Row],[Salary]]&gt;2,3%,2%)*All_Staff[[#This Row],[Salary]],0)</f>
        <v>3378</v>
      </c>
      <c r="K34" s="46">
        <f>_xlfn.XLOOKUP(All_Staff[[#This Row],[Rating]],'Salary Vs Rating'!$E$2:$E$6,'Salary Vs Rating'!$F$2:$F$6)</f>
        <v>3</v>
      </c>
      <c r="L34" s="41"/>
      <c r="M34" s="41"/>
      <c r="N34" s="9"/>
    </row>
    <row r="35" spans="1:14" x14ac:dyDescent="0.3">
      <c r="A35" s="6" t="s">
        <v>151</v>
      </c>
      <c r="B35" s="6" t="s">
        <v>15</v>
      </c>
      <c r="C35">
        <v>26</v>
      </c>
      <c r="D35" t="s">
        <v>16</v>
      </c>
      <c r="E35" s="7">
        <v>44164</v>
      </c>
      <c r="F35" s="6" t="s">
        <v>9</v>
      </c>
      <c r="G35" s="40">
        <v>47360</v>
      </c>
      <c r="H35" t="s">
        <v>205</v>
      </c>
      <c r="I35" s="9">
        <f ca="1">(TODAY()-All_Staff[[#This Row],[Date Joined]])/365</f>
        <v>5.1315068493150688</v>
      </c>
      <c r="J35" s="41">
        <f>ROUNDUP(IF(All_Staff[[#This Row],[Salary]]&gt;2,3%,2%)*All_Staff[[#This Row],[Salary]],0)</f>
        <v>1421</v>
      </c>
      <c r="K35" s="46">
        <f>_xlfn.XLOOKUP(All_Staff[[#This Row],[Rating]],'Salary Vs Rating'!$E$2:$E$6,'Salary Vs Rating'!$F$2:$F$6)</f>
        <v>3</v>
      </c>
      <c r="L35" s="41"/>
      <c r="M35" s="41"/>
      <c r="N35" s="9"/>
    </row>
    <row r="36" spans="1:14" x14ac:dyDescent="0.3">
      <c r="A36" s="6" t="s">
        <v>126</v>
      </c>
      <c r="B36" s="6" t="s">
        <v>8</v>
      </c>
      <c r="C36">
        <v>21</v>
      </c>
      <c r="D36" t="s">
        <v>16</v>
      </c>
      <c r="E36" s="7">
        <v>44256</v>
      </c>
      <c r="F36" s="6" t="s">
        <v>21</v>
      </c>
      <c r="G36" s="40">
        <v>65920</v>
      </c>
      <c r="H36" t="s">
        <v>205</v>
      </c>
      <c r="I36" s="9">
        <f ca="1">(TODAY()-All_Staff[[#This Row],[Date Joined]])/365</f>
        <v>4.8794520547945206</v>
      </c>
      <c r="J36" s="41">
        <f>ROUNDUP(IF(All_Staff[[#This Row],[Salary]]&gt;2,3%,2%)*All_Staff[[#This Row],[Salary]],0)</f>
        <v>1978</v>
      </c>
      <c r="K36" s="46">
        <f>_xlfn.XLOOKUP(All_Staff[[#This Row],[Rating]],'Salary Vs Rating'!$E$2:$E$6,'Salary Vs Rating'!$F$2:$F$6)</f>
        <v>3</v>
      </c>
      <c r="L36" s="41"/>
      <c r="M36" s="41"/>
      <c r="N36" s="9"/>
    </row>
    <row r="37" spans="1:14" x14ac:dyDescent="0.3">
      <c r="A37" s="6" t="s">
        <v>200</v>
      </c>
      <c r="B37" s="6" t="s">
        <v>8</v>
      </c>
      <c r="C37">
        <v>28</v>
      </c>
      <c r="D37" t="s">
        <v>16</v>
      </c>
      <c r="E37" s="7">
        <v>44571</v>
      </c>
      <c r="F37" s="6" t="s">
        <v>9</v>
      </c>
      <c r="G37" s="40">
        <v>99970</v>
      </c>
      <c r="H37" t="s">
        <v>205</v>
      </c>
      <c r="I37" s="9">
        <f ca="1">(TODAY()-All_Staff[[#This Row],[Date Joined]])/365</f>
        <v>4.0164383561643833</v>
      </c>
      <c r="J37" s="41">
        <f>ROUNDUP(IF(All_Staff[[#This Row],[Salary]]&gt;2,3%,2%)*All_Staff[[#This Row],[Salary]],0)</f>
        <v>3000</v>
      </c>
      <c r="K37" s="46">
        <f>_xlfn.XLOOKUP(All_Staff[[#This Row],[Rating]],'Salary Vs Rating'!$E$2:$E$6,'Salary Vs Rating'!$F$2:$F$6)</f>
        <v>3</v>
      </c>
      <c r="L37" s="41"/>
      <c r="M37" s="41"/>
      <c r="N37" s="9"/>
    </row>
    <row r="38" spans="1:14" x14ac:dyDescent="0.3">
      <c r="A38" s="6" t="s">
        <v>133</v>
      </c>
      <c r="B38" s="6" t="s">
        <v>8</v>
      </c>
      <c r="C38">
        <v>25</v>
      </c>
      <c r="D38" t="s">
        <v>13</v>
      </c>
      <c r="E38" s="7">
        <v>44633</v>
      </c>
      <c r="F38" s="6" t="s">
        <v>12</v>
      </c>
      <c r="G38" s="40">
        <v>80700</v>
      </c>
      <c r="H38" t="s">
        <v>205</v>
      </c>
      <c r="I38" s="9">
        <f ca="1">(TODAY()-All_Staff[[#This Row],[Date Joined]])/365</f>
        <v>3.8465753424657536</v>
      </c>
      <c r="J38" s="41">
        <f>ROUNDUP(IF(All_Staff[[#This Row],[Salary]]&gt;2,3%,2%)*All_Staff[[#This Row],[Salary]],0)</f>
        <v>2421</v>
      </c>
      <c r="K38" s="46">
        <f>_xlfn.XLOOKUP(All_Staff[[#This Row],[Rating]],'Salary Vs Rating'!$E$2:$E$6,'Salary Vs Rating'!$F$2:$F$6)</f>
        <v>4</v>
      </c>
      <c r="L38" s="41"/>
      <c r="M38" s="41"/>
      <c r="N38" s="9"/>
    </row>
    <row r="39" spans="1:14" x14ac:dyDescent="0.3">
      <c r="A39" s="6" t="s">
        <v>155</v>
      </c>
      <c r="B39" s="6" t="s">
        <v>15</v>
      </c>
      <c r="C39">
        <v>24</v>
      </c>
      <c r="D39" t="s">
        <v>24</v>
      </c>
      <c r="E39" s="7">
        <v>44375</v>
      </c>
      <c r="F39" s="6" t="s">
        <v>21</v>
      </c>
      <c r="G39" s="40">
        <v>52610</v>
      </c>
      <c r="H39" t="s">
        <v>205</v>
      </c>
      <c r="I39" s="9">
        <f ca="1">(TODAY()-All_Staff[[#This Row],[Date Joined]])/365</f>
        <v>4.5534246575342463</v>
      </c>
      <c r="J39" s="41">
        <f>ROUNDUP(IF(All_Staff[[#This Row],[Salary]]&gt;2,3%,2%)*All_Staff[[#This Row],[Salary]],0)</f>
        <v>1579</v>
      </c>
      <c r="K39" s="46">
        <f>_xlfn.XLOOKUP(All_Staff[[#This Row],[Rating]],'Salary Vs Rating'!$E$2:$E$6,'Salary Vs Rating'!$F$2:$F$6)</f>
        <v>2</v>
      </c>
      <c r="L39" s="41"/>
      <c r="M39" s="41"/>
      <c r="N39" s="9"/>
    </row>
    <row r="40" spans="1:14" x14ac:dyDescent="0.3">
      <c r="A40" s="6" t="s">
        <v>180</v>
      </c>
      <c r="B40" s="6" t="s">
        <v>15</v>
      </c>
      <c r="C40">
        <v>29</v>
      </c>
      <c r="D40" t="s">
        <v>24</v>
      </c>
      <c r="E40" s="7">
        <v>44119</v>
      </c>
      <c r="F40" s="6" t="s">
        <v>12</v>
      </c>
      <c r="G40" s="40">
        <v>112110</v>
      </c>
      <c r="H40" t="s">
        <v>205</v>
      </c>
      <c r="I40" s="9">
        <f ca="1">(TODAY()-All_Staff[[#This Row],[Date Joined]])/365</f>
        <v>5.2547945205479456</v>
      </c>
      <c r="J40" s="41">
        <f>ROUNDUP(IF(All_Staff[[#This Row],[Salary]]&gt;2,3%,2%)*All_Staff[[#This Row],[Salary]],0)</f>
        <v>3364</v>
      </c>
      <c r="K40" s="46">
        <f>_xlfn.XLOOKUP(All_Staff[[#This Row],[Rating]],'Salary Vs Rating'!$E$2:$E$6,'Salary Vs Rating'!$F$2:$F$6)</f>
        <v>2</v>
      </c>
      <c r="L40" s="41"/>
      <c r="M40" s="41"/>
      <c r="N40" s="9"/>
    </row>
    <row r="41" spans="1:14" x14ac:dyDescent="0.3">
      <c r="A41" s="6" t="s">
        <v>152</v>
      </c>
      <c r="B41" s="6" t="s">
        <v>8</v>
      </c>
      <c r="C41">
        <v>27</v>
      </c>
      <c r="D41" t="s">
        <v>16</v>
      </c>
      <c r="E41" s="7">
        <v>44061</v>
      </c>
      <c r="F41" s="6" t="s">
        <v>56</v>
      </c>
      <c r="G41" s="40">
        <v>119110</v>
      </c>
      <c r="H41" t="s">
        <v>205</v>
      </c>
      <c r="I41" s="9">
        <f ca="1">(TODAY()-All_Staff[[#This Row],[Date Joined]])/365</f>
        <v>5.4136986301369863</v>
      </c>
      <c r="J41" s="41">
        <f>ROUNDUP(IF(All_Staff[[#This Row],[Salary]]&gt;2,3%,2%)*All_Staff[[#This Row],[Salary]],0)</f>
        <v>3574</v>
      </c>
      <c r="K41" s="46">
        <f>_xlfn.XLOOKUP(All_Staff[[#This Row],[Rating]],'Salary Vs Rating'!$E$2:$E$6,'Salary Vs Rating'!$F$2:$F$6)</f>
        <v>3</v>
      </c>
      <c r="L41" s="41"/>
      <c r="M41" s="41"/>
      <c r="N41" s="9"/>
    </row>
    <row r="42" spans="1:14" x14ac:dyDescent="0.3">
      <c r="A42" s="6" t="s">
        <v>175</v>
      </c>
      <c r="B42" s="6" t="s">
        <v>8</v>
      </c>
      <c r="C42">
        <v>36</v>
      </c>
      <c r="D42" t="s">
        <v>16</v>
      </c>
      <c r="E42" s="7">
        <v>44023</v>
      </c>
      <c r="F42" s="6" t="s">
        <v>9</v>
      </c>
      <c r="G42" s="40">
        <v>114890</v>
      </c>
      <c r="H42" t="s">
        <v>205</v>
      </c>
      <c r="I42" s="9">
        <f ca="1">(TODAY()-All_Staff[[#This Row],[Date Joined]])/365</f>
        <v>5.5178082191780824</v>
      </c>
      <c r="J42" s="41">
        <f>ROUNDUP(IF(All_Staff[[#This Row],[Salary]]&gt;2,3%,2%)*All_Staff[[#This Row],[Salary]],0)</f>
        <v>3447</v>
      </c>
      <c r="K42" s="46">
        <f>_xlfn.XLOOKUP(All_Staff[[#This Row],[Rating]],'Salary Vs Rating'!$E$2:$E$6,'Salary Vs Rating'!$F$2:$F$6)</f>
        <v>3</v>
      </c>
      <c r="L42" s="41"/>
      <c r="M42" s="41"/>
      <c r="N42" s="9"/>
    </row>
    <row r="43" spans="1:14" x14ac:dyDescent="0.3">
      <c r="A43" s="6" t="s">
        <v>146</v>
      </c>
      <c r="B43" s="6" t="s">
        <v>15</v>
      </c>
      <c r="C43">
        <v>27</v>
      </c>
      <c r="D43" t="s">
        <v>16</v>
      </c>
      <c r="E43" s="7">
        <v>44506</v>
      </c>
      <c r="F43" s="6" t="s">
        <v>21</v>
      </c>
      <c r="G43" s="40">
        <v>48980</v>
      </c>
      <c r="H43" t="s">
        <v>205</v>
      </c>
      <c r="I43" s="9">
        <f ca="1">(TODAY()-All_Staff[[#This Row],[Date Joined]])/365</f>
        <v>4.1945205479452055</v>
      </c>
      <c r="J43" s="41">
        <f>ROUNDUP(IF(All_Staff[[#This Row],[Salary]]&gt;2,3%,2%)*All_Staff[[#This Row],[Salary]],0)</f>
        <v>1470</v>
      </c>
      <c r="K43" s="46">
        <f>_xlfn.XLOOKUP(All_Staff[[#This Row],[Rating]],'Salary Vs Rating'!$E$2:$E$6,'Salary Vs Rating'!$F$2:$F$6)</f>
        <v>3</v>
      </c>
      <c r="L43" s="41"/>
      <c r="M43" s="41"/>
      <c r="N43" s="9"/>
    </row>
    <row r="44" spans="1:14" x14ac:dyDescent="0.3">
      <c r="A44" s="6" t="s">
        <v>170</v>
      </c>
      <c r="B44" s="6" t="s">
        <v>15</v>
      </c>
      <c r="C44">
        <v>21</v>
      </c>
      <c r="D44" t="s">
        <v>16</v>
      </c>
      <c r="E44" s="7">
        <v>44180</v>
      </c>
      <c r="F44" s="6" t="s">
        <v>56</v>
      </c>
      <c r="G44" s="40">
        <v>75880</v>
      </c>
      <c r="H44" t="s">
        <v>205</v>
      </c>
      <c r="I44" s="9">
        <f ca="1">(TODAY()-All_Staff[[#This Row],[Date Joined]])/365</f>
        <v>5.087671232876712</v>
      </c>
      <c r="J44" s="41">
        <f>ROUNDUP(IF(All_Staff[[#This Row],[Salary]]&gt;2,3%,2%)*All_Staff[[#This Row],[Salary]],0)</f>
        <v>2277</v>
      </c>
      <c r="K44" s="46">
        <f>_xlfn.XLOOKUP(All_Staff[[#This Row],[Rating]],'Salary Vs Rating'!$E$2:$E$6,'Salary Vs Rating'!$F$2:$F$6)</f>
        <v>3</v>
      </c>
      <c r="L44" s="41"/>
      <c r="M44" s="41"/>
      <c r="N44" s="9"/>
    </row>
    <row r="45" spans="1:14" x14ac:dyDescent="0.3">
      <c r="A45" s="6" t="s">
        <v>167</v>
      </c>
      <c r="B45" s="6" t="s">
        <v>8</v>
      </c>
      <c r="C45">
        <v>28</v>
      </c>
      <c r="D45" t="s">
        <v>16</v>
      </c>
      <c r="E45" s="7">
        <v>44296</v>
      </c>
      <c r="F45" s="6" t="s">
        <v>19</v>
      </c>
      <c r="G45" s="40">
        <v>53240</v>
      </c>
      <c r="H45" t="s">
        <v>205</v>
      </c>
      <c r="I45" s="9">
        <f ca="1">(TODAY()-All_Staff[[#This Row],[Date Joined]])/365</f>
        <v>4.7698630136986298</v>
      </c>
      <c r="J45" s="41">
        <f>ROUNDUP(IF(All_Staff[[#This Row],[Salary]]&gt;2,3%,2%)*All_Staff[[#This Row],[Salary]],0)</f>
        <v>1598</v>
      </c>
      <c r="K45" s="46">
        <f>_xlfn.XLOOKUP(All_Staff[[#This Row],[Rating]],'Salary Vs Rating'!$E$2:$E$6,'Salary Vs Rating'!$F$2:$F$6)</f>
        <v>3</v>
      </c>
      <c r="L45" s="41"/>
      <c r="M45" s="41"/>
      <c r="N45" s="9"/>
    </row>
    <row r="46" spans="1:14" x14ac:dyDescent="0.3">
      <c r="A46" s="6" t="s">
        <v>122</v>
      </c>
      <c r="B46" s="6" t="s">
        <v>8</v>
      </c>
      <c r="C46">
        <v>34</v>
      </c>
      <c r="D46" t="s">
        <v>16</v>
      </c>
      <c r="E46" s="7">
        <v>44397</v>
      </c>
      <c r="F46" s="6" t="s">
        <v>21</v>
      </c>
      <c r="G46" s="40">
        <v>85000</v>
      </c>
      <c r="H46" t="s">
        <v>205</v>
      </c>
      <c r="I46" s="9">
        <f ca="1">(TODAY()-All_Staff[[#This Row],[Date Joined]])/365</f>
        <v>4.493150684931507</v>
      </c>
      <c r="J46" s="41">
        <f>ROUNDUP(IF(All_Staff[[#This Row],[Salary]]&gt;2,3%,2%)*All_Staff[[#This Row],[Salary]],0)</f>
        <v>2550</v>
      </c>
      <c r="K46" s="46">
        <f>_xlfn.XLOOKUP(All_Staff[[#This Row],[Rating]],'Salary Vs Rating'!$E$2:$E$6,'Salary Vs Rating'!$F$2:$F$6)</f>
        <v>3</v>
      </c>
      <c r="L46" s="41"/>
      <c r="M46" s="41"/>
      <c r="N46" s="9"/>
    </row>
    <row r="47" spans="1:14" x14ac:dyDescent="0.3">
      <c r="A47" s="6" t="s">
        <v>179</v>
      </c>
      <c r="B47" s="6" t="s">
        <v>8</v>
      </c>
      <c r="C47">
        <v>21</v>
      </c>
      <c r="D47" t="s">
        <v>16</v>
      </c>
      <c r="E47" s="7">
        <v>44619</v>
      </c>
      <c r="F47" s="6" t="s">
        <v>12</v>
      </c>
      <c r="G47" s="40">
        <v>33920</v>
      </c>
      <c r="H47" t="s">
        <v>205</v>
      </c>
      <c r="I47" s="9">
        <f ca="1">(TODAY()-All_Staff[[#This Row],[Date Joined]])/365</f>
        <v>3.8849315068493149</v>
      </c>
      <c r="J47" s="41">
        <f>ROUNDUP(IF(All_Staff[[#This Row],[Salary]]&gt;2,3%,2%)*All_Staff[[#This Row],[Salary]],0)</f>
        <v>1018</v>
      </c>
      <c r="K47" s="46">
        <f>_xlfn.XLOOKUP(All_Staff[[#This Row],[Rating]],'Salary Vs Rating'!$E$2:$E$6,'Salary Vs Rating'!$F$2:$F$6)</f>
        <v>3</v>
      </c>
      <c r="L47" s="41"/>
      <c r="M47" s="41"/>
      <c r="N47" s="9"/>
    </row>
    <row r="48" spans="1:14" x14ac:dyDescent="0.3">
      <c r="A48" s="6" t="s">
        <v>188</v>
      </c>
      <c r="B48" s="6" t="s">
        <v>8</v>
      </c>
      <c r="C48">
        <v>33</v>
      </c>
      <c r="D48" t="s">
        <v>16</v>
      </c>
      <c r="E48" s="7">
        <v>44253</v>
      </c>
      <c r="F48" s="6" t="s">
        <v>12</v>
      </c>
      <c r="G48" s="40">
        <v>75280</v>
      </c>
      <c r="H48" t="s">
        <v>205</v>
      </c>
      <c r="I48" s="9">
        <f ca="1">(TODAY()-All_Staff[[#This Row],[Date Joined]])/365</f>
        <v>4.8876712328767127</v>
      </c>
      <c r="J48" s="41">
        <f>ROUNDUP(IF(All_Staff[[#This Row],[Salary]]&gt;2,3%,2%)*All_Staff[[#This Row],[Salary]],0)</f>
        <v>2259</v>
      </c>
      <c r="K48" s="46">
        <f>_xlfn.XLOOKUP(All_Staff[[#This Row],[Rating]],'Salary Vs Rating'!$E$2:$E$6,'Salary Vs Rating'!$F$2:$F$6)</f>
        <v>3</v>
      </c>
      <c r="L48" s="41"/>
      <c r="M48" s="41"/>
      <c r="N48" s="9"/>
    </row>
    <row r="49" spans="1:14" x14ac:dyDescent="0.3">
      <c r="A49" s="6" t="s">
        <v>130</v>
      </c>
      <c r="B49" s="6" t="s">
        <v>8</v>
      </c>
      <c r="C49">
        <v>34</v>
      </c>
      <c r="D49" t="s">
        <v>16</v>
      </c>
      <c r="E49" s="7">
        <v>44594</v>
      </c>
      <c r="F49" s="6" t="s">
        <v>21</v>
      </c>
      <c r="G49" s="40">
        <v>58940</v>
      </c>
      <c r="H49" t="s">
        <v>205</v>
      </c>
      <c r="I49" s="9">
        <f ca="1">(TODAY()-All_Staff[[#This Row],[Date Joined]])/365</f>
        <v>3.9534246575342467</v>
      </c>
      <c r="J49" s="41">
        <f>ROUNDUP(IF(All_Staff[[#This Row],[Salary]]&gt;2,3%,2%)*All_Staff[[#This Row],[Salary]],0)</f>
        <v>1769</v>
      </c>
      <c r="K49" s="46">
        <f>_xlfn.XLOOKUP(All_Staff[[#This Row],[Rating]],'Salary Vs Rating'!$E$2:$E$6,'Salary Vs Rating'!$F$2:$F$6)</f>
        <v>3</v>
      </c>
      <c r="L49" s="41"/>
      <c r="M49" s="41"/>
      <c r="N49" s="9"/>
    </row>
    <row r="50" spans="1:14" x14ac:dyDescent="0.3">
      <c r="A50" s="6" t="s">
        <v>136</v>
      </c>
      <c r="B50" s="6" t="s">
        <v>8</v>
      </c>
      <c r="C50">
        <v>28</v>
      </c>
      <c r="D50" t="s">
        <v>16</v>
      </c>
      <c r="E50" s="7">
        <v>44425</v>
      </c>
      <c r="F50" s="6" t="s">
        <v>9</v>
      </c>
      <c r="G50" s="40">
        <v>104770</v>
      </c>
      <c r="H50" t="s">
        <v>205</v>
      </c>
      <c r="I50" s="9">
        <f ca="1">(TODAY()-All_Staff[[#This Row],[Date Joined]])/365</f>
        <v>4.4164383561643836</v>
      </c>
      <c r="J50" s="41">
        <f>ROUNDUP(IF(All_Staff[[#This Row],[Salary]]&gt;2,3%,2%)*All_Staff[[#This Row],[Salary]],0)</f>
        <v>3144</v>
      </c>
      <c r="K50" s="46">
        <f>_xlfn.XLOOKUP(All_Staff[[#This Row],[Rating]],'Salary Vs Rating'!$E$2:$E$6,'Salary Vs Rating'!$F$2:$F$6)</f>
        <v>3</v>
      </c>
      <c r="L50" s="41"/>
      <c r="M50" s="41"/>
      <c r="N50" s="9"/>
    </row>
    <row r="51" spans="1:14" x14ac:dyDescent="0.3">
      <c r="A51" s="6" t="s">
        <v>125</v>
      </c>
      <c r="B51" s="6" t="s">
        <v>15</v>
      </c>
      <c r="C51">
        <v>21</v>
      </c>
      <c r="D51" t="s">
        <v>16</v>
      </c>
      <c r="E51" s="7">
        <v>44701</v>
      </c>
      <c r="F51" s="6" t="s">
        <v>9</v>
      </c>
      <c r="G51" s="40">
        <v>57090</v>
      </c>
      <c r="H51" t="s">
        <v>205</v>
      </c>
      <c r="I51" s="9">
        <f ca="1">(TODAY()-All_Staff[[#This Row],[Date Joined]])/365</f>
        <v>3.6602739726027398</v>
      </c>
      <c r="J51" s="41">
        <f>ROUNDUP(IF(All_Staff[[#This Row],[Salary]]&gt;2,3%,2%)*All_Staff[[#This Row],[Salary]],0)</f>
        <v>1713</v>
      </c>
      <c r="K51" s="46">
        <f>_xlfn.XLOOKUP(All_Staff[[#This Row],[Rating]],'Salary Vs Rating'!$E$2:$E$6,'Salary Vs Rating'!$F$2:$F$6)</f>
        <v>3</v>
      </c>
      <c r="L51" s="41"/>
      <c r="M51" s="41"/>
      <c r="N51" s="9"/>
    </row>
    <row r="52" spans="1:14" x14ac:dyDescent="0.3">
      <c r="A52" s="6" t="s">
        <v>160</v>
      </c>
      <c r="B52" s="6" t="s">
        <v>15</v>
      </c>
      <c r="C52">
        <v>27</v>
      </c>
      <c r="D52" t="s">
        <v>13</v>
      </c>
      <c r="E52" s="7">
        <v>44174</v>
      </c>
      <c r="F52" s="6" t="s">
        <v>21</v>
      </c>
      <c r="G52" s="40">
        <v>91650</v>
      </c>
      <c r="H52" t="s">
        <v>205</v>
      </c>
      <c r="I52" s="9">
        <f ca="1">(TODAY()-All_Staff[[#This Row],[Date Joined]])/365</f>
        <v>5.1041095890410961</v>
      </c>
      <c r="J52" s="41">
        <f>ROUNDUP(IF(All_Staff[[#This Row],[Salary]]&gt;2,3%,2%)*All_Staff[[#This Row],[Salary]],0)</f>
        <v>2750</v>
      </c>
      <c r="K52" s="46">
        <f>_xlfn.XLOOKUP(All_Staff[[#This Row],[Rating]],'Salary Vs Rating'!$E$2:$E$6,'Salary Vs Rating'!$F$2:$F$6)</f>
        <v>4</v>
      </c>
      <c r="L52" s="41"/>
      <c r="M52" s="41"/>
      <c r="N52" s="9"/>
    </row>
    <row r="53" spans="1:14" x14ac:dyDescent="0.3">
      <c r="A53" s="6" t="s">
        <v>183</v>
      </c>
      <c r="B53" s="6" t="s">
        <v>15</v>
      </c>
      <c r="C53">
        <v>42</v>
      </c>
      <c r="D53" t="s">
        <v>24</v>
      </c>
      <c r="E53" s="7">
        <v>44670</v>
      </c>
      <c r="F53" s="6" t="s">
        <v>21</v>
      </c>
      <c r="G53" s="40">
        <v>70270</v>
      </c>
      <c r="H53" t="s">
        <v>205</v>
      </c>
      <c r="I53" s="9">
        <f ca="1">(TODAY()-All_Staff[[#This Row],[Date Joined]])/365</f>
        <v>3.7452054794520548</v>
      </c>
      <c r="J53" s="41">
        <f>ROUNDUP(IF(All_Staff[[#This Row],[Salary]]&gt;2,3%,2%)*All_Staff[[#This Row],[Salary]],0)</f>
        <v>2109</v>
      </c>
      <c r="K53" s="46">
        <f>_xlfn.XLOOKUP(All_Staff[[#This Row],[Rating]],'Salary Vs Rating'!$E$2:$E$6,'Salary Vs Rating'!$F$2:$F$6)</f>
        <v>2</v>
      </c>
      <c r="L53" s="41"/>
      <c r="M53" s="41"/>
      <c r="N53" s="9"/>
    </row>
    <row r="54" spans="1:14" x14ac:dyDescent="0.3">
      <c r="A54" s="6" t="s">
        <v>129</v>
      </c>
      <c r="B54" s="6" t="s">
        <v>8</v>
      </c>
      <c r="C54">
        <v>28</v>
      </c>
      <c r="D54" t="s">
        <v>16</v>
      </c>
      <c r="E54" s="7">
        <v>44124</v>
      </c>
      <c r="F54" s="6" t="s">
        <v>21</v>
      </c>
      <c r="G54" s="40">
        <v>75970</v>
      </c>
      <c r="H54" t="s">
        <v>205</v>
      </c>
      <c r="I54" s="9">
        <f ca="1">(TODAY()-All_Staff[[#This Row],[Date Joined]])/365</f>
        <v>5.2410958904109588</v>
      </c>
      <c r="J54" s="41">
        <f>ROUNDUP(IF(All_Staff[[#This Row],[Salary]]&gt;2,3%,2%)*All_Staff[[#This Row],[Salary]],0)</f>
        <v>2280</v>
      </c>
      <c r="K54" s="46">
        <f>_xlfn.XLOOKUP(All_Staff[[#This Row],[Rating]],'Salary Vs Rating'!$E$2:$E$6,'Salary Vs Rating'!$F$2:$F$6)</f>
        <v>3</v>
      </c>
      <c r="L54" s="41"/>
      <c r="M54" s="41"/>
      <c r="N54" s="9"/>
    </row>
    <row r="55" spans="1:14" x14ac:dyDescent="0.3">
      <c r="A55" s="6" t="s">
        <v>112</v>
      </c>
      <c r="B55" s="6" t="s">
        <v>206</v>
      </c>
      <c r="C55">
        <v>27</v>
      </c>
      <c r="D55" t="s">
        <v>13</v>
      </c>
      <c r="E55" s="7">
        <v>44212</v>
      </c>
      <c r="F55" s="6" t="s">
        <v>12</v>
      </c>
      <c r="G55" s="40">
        <v>90700</v>
      </c>
      <c r="H55" t="s">
        <v>205</v>
      </c>
      <c r="I55" s="9">
        <f ca="1">(TODAY()-All_Staff[[#This Row],[Date Joined]])/365</f>
        <v>5</v>
      </c>
      <c r="J55" s="41">
        <f>ROUNDUP(IF(All_Staff[[#This Row],[Salary]]&gt;2,3%,2%)*All_Staff[[#This Row],[Salary]],0)</f>
        <v>2721</v>
      </c>
      <c r="K55" s="46">
        <f>_xlfn.XLOOKUP(All_Staff[[#This Row],[Rating]],'Salary Vs Rating'!$E$2:$E$6,'Salary Vs Rating'!$F$2:$F$6)</f>
        <v>4</v>
      </c>
      <c r="L55" s="41"/>
      <c r="M55" s="41"/>
      <c r="N55" s="9"/>
    </row>
    <row r="56" spans="1:14" x14ac:dyDescent="0.3">
      <c r="A56" s="6" t="s">
        <v>131</v>
      </c>
      <c r="B56" s="6" t="s">
        <v>15</v>
      </c>
      <c r="C56">
        <v>30</v>
      </c>
      <c r="D56" t="s">
        <v>16</v>
      </c>
      <c r="E56" s="7">
        <v>44607</v>
      </c>
      <c r="F56" s="6" t="s">
        <v>9</v>
      </c>
      <c r="G56" s="40">
        <v>60570</v>
      </c>
      <c r="H56" t="s">
        <v>205</v>
      </c>
      <c r="I56" s="9">
        <f ca="1">(TODAY()-All_Staff[[#This Row],[Date Joined]])/365</f>
        <v>3.9178082191780823</v>
      </c>
      <c r="J56" s="41">
        <f>ROUNDUP(IF(All_Staff[[#This Row],[Salary]]&gt;2,3%,2%)*All_Staff[[#This Row],[Salary]],0)</f>
        <v>1818</v>
      </c>
      <c r="K56" s="46">
        <f>_xlfn.XLOOKUP(All_Staff[[#This Row],[Rating]],'Salary Vs Rating'!$E$2:$E$6,'Salary Vs Rating'!$F$2:$F$6)</f>
        <v>3</v>
      </c>
      <c r="L56" s="41"/>
      <c r="M56" s="41"/>
      <c r="N56" s="9"/>
    </row>
    <row r="57" spans="1:14" x14ac:dyDescent="0.3">
      <c r="A57" s="6" t="s">
        <v>134</v>
      </c>
      <c r="B57" s="6" t="s">
        <v>15</v>
      </c>
      <c r="C57">
        <v>33</v>
      </c>
      <c r="D57" t="s">
        <v>16</v>
      </c>
      <c r="E57" s="7">
        <v>44103</v>
      </c>
      <c r="F57" s="6" t="s">
        <v>9</v>
      </c>
      <c r="G57" s="40">
        <v>115920</v>
      </c>
      <c r="H57" t="s">
        <v>205</v>
      </c>
      <c r="I57" s="9">
        <f ca="1">(TODAY()-All_Staff[[#This Row],[Date Joined]])/365</f>
        <v>5.2986301369863016</v>
      </c>
      <c r="J57" s="41">
        <f>ROUNDUP(IF(All_Staff[[#This Row],[Salary]]&gt;2,3%,2%)*All_Staff[[#This Row],[Salary]],0)</f>
        <v>3478</v>
      </c>
      <c r="K57" s="46">
        <f>_xlfn.XLOOKUP(All_Staff[[#This Row],[Rating]],'Salary Vs Rating'!$E$2:$E$6,'Salary Vs Rating'!$F$2:$F$6)</f>
        <v>3</v>
      </c>
      <c r="L57" s="41"/>
      <c r="M57" s="41"/>
      <c r="N57" s="9"/>
    </row>
    <row r="58" spans="1:14" x14ac:dyDescent="0.3">
      <c r="A58" s="6" t="s">
        <v>186</v>
      </c>
      <c r="B58" s="6" t="s">
        <v>8</v>
      </c>
      <c r="C58">
        <v>33</v>
      </c>
      <c r="D58" t="s">
        <v>16</v>
      </c>
      <c r="E58" s="7">
        <v>44006</v>
      </c>
      <c r="F58" s="6" t="s">
        <v>21</v>
      </c>
      <c r="G58" s="40">
        <v>65360</v>
      </c>
      <c r="H58" t="s">
        <v>205</v>
      </c>
      <c r="I58" s="9">
        <f ca="1">(TODAY()-All_Staff[[#This Row],[Date Joined]])/365</f>
        <v>5.5643835616438357</v>
      </c>
      <c r="J58" s="41">
        <f>ROUNDUP(IF(All_Staff[[#This Row],[Salary]]&gt;2,3%,2%)*All_Staff[[#This Row],[Salary]],0)</f>
        <v>1961</v>
      </c>
      <c r="K58" s="46">
        <f>_xlfn.XLOOKUP(All_Staff[[#This Row],[Rating]],'Salary Vs Rating'!$E$2:$E$6,'Salary Vs Rating'!$F$2:$F$6)</f>
        <v>3</v>
      </c>
      <c r="L58" s="41"/>
      <c r="M58" s="41"/>
      <c r="N58" s="9"/>
    </row>
    <row r="59" spans="1:14" x14ac:dyDescent="0.3">
      <c r="A59" s="6" t="s">
        <v>116</v>
      </c>
      <c r="B59" s="6" t="s">
        <v>206</v>
      </c>
      <c r="C59">
        <v>30</v>
      </c>
      <c r="D59" t="s">
        <v>16</v>
      </c>
      <c r="E59" s="7">
        <v>44535</v>
      </c>
      <c r="F59" s="6" t="s">
        <v>21</v>
      </c>
      <c r="G59" s="40">
        <v>64000</v>
      </c>
      <c r="H59" t="s">
        <v>205</v>
      </c>
      <c r="I59" s="9">
        <f ca="1">(TODAY()-All_Staff[[#This Row],[Date Joined]])/365</f>
        <v>4.1150684931506847</v>
      </c>
      <c r="J59" s="41">
        <f>ROUNDUP(IF(All_Staff[[#This Row],[Salary]]&gt;2,3%,2%)*All_Staff[[#This Row],[Salary]],0)</f>
        <v>1920</v>
      </c>
      <c r="K59" s="46">
        <f>_xlfn.XLOOKUP(All_Staff[[#This Row],[Rating]],'Salary Vs Rating'!$E$2:$E$6,'Salary Vs Rating'!$F$2:$F$6)</f>
        <v>3</v>
      </c>
      <c r="L59" s="41"/>
      <c r="M59" s="41"/>
      <c r="N59" s="9"/>
    </row>
    <row r="60" spans="1:14" x14ac:dyDescent="0.3">
      <c r="A60" s="6" t="s">
        <v>195</v>
      </c>
      <c r="B60" s="6" t="s">
        <v>8</v>
      </c>
      <c r="C60">
        <v>34</v>
      </c>
      <c r="D60" t="s">
        <v>16</v>
      </c>
      <c r="E60" s="7">
        <v>44383</v>
      </c>
      <c r="F60" s="6" t="s">
        <v>21</v>
      </c>
      <c r="G60" s="40">
        <v>92450</v>
      </c>
      <c r="H60" t="s">
        <v>205</v>
      </c>
      <c r="I60" s="9">
        <f ca="1">(TODAY()-All_Staff[[#This Row],[Date Joined]])/365</f>
        <v>4.5315068493150683</v>
      </c>
      <c r="J60" s="41">
        <f>ROUNDUP(IF(All_Staff[[#This Row],[Salary]]&gt;2,3%,2%)*All_Staff[[#This Row],[Salary]],0)</f>
        <v>2774</v>
      </c>
      <c r="K60" s="46">
        <f>_xlfn.XLOOKUP(All_Staff[[#This Row],[Rating]],'Salary Vs Rating'!$E$2:$E$6,'Salary Vs Rating'!$F$2:$F$6)</f>
        <v>3</v>
      </c>
      <c r="L60" s="41"/>
      <c r="M60" s="41"/>
      <c r="N60" s="9"/>
    </row>
    <row r="61" spans="1:14" x14ac:dyDescent="0.3">
      <c r="A61" s="6" t="s">
        <v>113</v>
      </c>
      <c r="B61" s="6" t="s">
        <v>15</v>
      </c>
      <c r="C61">
        <v>31</v>
      </c>
      <c r="D61" t="s">
        <v>16</v>
      </c>
      <c r="E61" s="7">
        <v>44450</v>
      </c>
      <c r="F61" s="6" t="s">
        <v>12</v>
      </c>
      <c r="G61" s="40">
        <v>48950</v>
      </c>
      <c r="H61" t="s">
        <v>205</v>
      </c>
      <c r="I61" s="9">
        <f ca="1">(TODAY()-All_Staff[[#This Row],[Date Joined]])/365</f>
        <v>4.3479452054794523</v>
      </c>
      <c r="J61" s="41">
        <f>ROUNDUP(IF(All_Staff[[#This Row],[Salary]]&gt;2,3%,2%)*All_Staff[[#This Row],[Salary]],0)</f>
        <v>1469</v>
      </c>
      <c r="K61" s="46">
        <f>_xlfn.XLOOKUP(All_Staff[[#This Row],[Rating]],'Salary Vs Rating'!$E$2:$E$6,'Salary Vs Rating'!$F$2:$F$6)</f>
        <v>3</v>
      </c>
      <c r="L61" s="41"/>
      <c r="M61" s="41"/>
      <c r="N61" s="9"/>
    </row>
    <row r="62" spans="1:14" x14ac:dyDescent="0.3">
      <c r="A62" s="6" t="s">
        <v>185</v>
      </c>
      <c r="B62" s="6" t="s">
        <v>8</v>
      </c>
      <c r="C62">
        <v>27</v>
      </c>
      <c r="D62" t="s">
        <v>16</v>
      </c>
      <c r="E62" s="7">
        <v>44625</v>
      </c>
      <c r="F62" s="6" t="s">
        <v>12</v>
      </c>
      <c r="G62" s="40">
        <v>83750</v>
      </c>
      <c r="H62" t="s">
        <v>205</v>
      </c>
      <c r="I62" s="9">
        <f ca="1">(TODAY()-All_Staff[[#This Row],[Date Joined]])/365</f>
        <v>3.8684931506849316</v>
      </c>
      <c r="J62" s="41">
        <f>ROUNDUP(IF(All_Staff[[#This Row],[Salary]]&gt;2,3%,2%)*All_Staff[[#This Row],[Salary]],0)</f>
        <v>2513</v>
      </c>
      <c r="K62" s="46">
        <f>_xlfn.XLOOKUP(All_Staff[[#This Row],[Rating]],'Salary Vs Rating'!$E$2:$E$6,'Salary Vs Rating'!$F$2:$F$6)</f>
        <v>3</v>
      </c>
      <c r="L62" s="41"/>
      <c r="M62" s="41"/>
      <c r="N62" s="9"/>
    </row>
    <row r="63" spans="1:14" x14ac:dyDescent="0.3">
      <c r="A63" s="6" t="s">
        <v>166</v>
      </c>
      <c r="B63" s="6" t="s">
        <v>8</v>
      </c>
      <c r="C63">
        <v>40</v>
      </c>
      <c r="D63" t="s">
        <v>16</v>
      </c>
      <c r="E63" s="7">
        <v>44276</v>
      </c>
      <c r="F63" s="6" t="s">
        <v>12</v>
      </c>
      <c r="G63" s="40">
        <v>87620</v>
      </c>
      <c r="H63" t="s">
        <v>205</v>
      </c>
      <c r="I63" s="9">
        <f ca="1">(TODAY()-All_Staff[[#This Row],[Date Joined]])/365</f>
        <v>4.8246575342465752</v>
      </c>
      <c r="J63" s="41">
        <f>ROUNDUP(IF(All_Staff[[#This Row],[Salary]]&gt;2,3%,2%)*All_Staff[[#This Row],[Salary]],0)</f>
        <v>2629</v>
      </c>
      <c r="K63" s="46">
        <f>_xlfn.XLOOKUP(All_Staff[[#This Row],[Rating]],'Salary Vs Rating'!$E$2:$E$6,'Salary Vs Rating'!$F$2:$F$6)</f>
        <v>3</v>
      </c>
      <c r="L63" s="41"/>
      <c r="M63" s="41"/>
      <c r="N63" s="9"/>
    </row>
    <row r="64" spans="1:14" x14ac:dyDescent="0.3">
      <c r="A64" s="6" t="s">
        <v>184</v>
      </c>
      <c r="B64" s="6" t="s">
        <v>8</v>
      </c>
      <c r="C64">
        <v>20</v>
      </c>
      <c r="D64" t="s">
        <v>24</v>
      </c>
      <c r="E64" s="7">
        <v>44476</v>
      </c>
      <c r="F64" s="6" t="s">
        <v>19</v>
      </c>
      <c r="G64" s="40">
        <v>68900</v>
      </c>
      <c r="H64" t="s">
        <v>205</v>
      </c>
      <c r="I64" s="9">
        <f ca="1">(TODAY()-All_Staff[[#This Row],[Date Joined]])/365</f>
        <v>4.2767123287671236</v>
      </c>
      <c r="J64" s="41">
        <f>ROUNDUP(IF(All_Staff[[#This Row],[Salary]]&gt;2,3%,2%)*All_Staff[[#This Row],[Salary]],0)</f>
        <v>2067</v>
      </c>
      <c r="K64" s="46">
        <f>_xlfn.XLOOKUP(All_Staff[[#This Row],[Rating]],'Salary Vs Rating'!$E$2:$E$6,'Salary Vs Rating'!$F$2:$F$6)</f>
        <v>2</v>
      </c>
      <c r="L64" s="41"/>
      <c r="M64" s="41"/>
      <c r="N64" s="9"/>
    </row>
    <row r="65" spans="1:14" x14ac:dyDescent="0.3">
      <c r="A65" s="6" t="s">
        <v>157</v>
      </c>
      <c r="B65" s="6" t="s">
        <v>15</v>
      </c>
      <c r="C65">
        <v>32</v>
      </c>
      <c r="D65" t="s">
        <v>16</v>
      </c>
      <c r="E65" s="7">
        <v>44403</v>
      </c>
      <c r="F65" s="6" t="s">
        <v>19</v>
      </c>
      <c r="G65" s="40">
        <v>53540</v>
      </c>
      <c r="H65" t="s">
        <v>205</v>
      </c>
      <c r="I65" s="9">
        <f ca="1">(TODAY()-All_Staff[[#This Row],[Date Joined]])/365</f>
        <v>4.4767123287671229</v>
      </c>
      <c r="J65" s="41">
        <f>ROUNDUP(IF(All_Staff[[#This Row],[Salary]]&gt;2,3%,2%)*All_Staff[[#This Row],[Salary]],0)</f>
        <v>1607</v>
      </c>
      <c r="K65" s="46">
        <f>_xlfn.XLOOKUP(All_Staff[[#This Row],[Rating]],'Salary Vs Rating'!$E$2:$E$6,'Salary Vs Rating'!$F$2:$F$6)</f>
        <v>3</v>
      </c>
      <c r="L65" s="41"/>
      <c r="M65" s="41"/>
      <c r="N65" s="9"/>
    </row>
    <row r="66" spans="1:14" x14ac:dyDescent="0.3">
      <c r="A66" s="6" t="s">
        <v>172</v>
      </c>
      <c r="B66" s="6" t="s">
        <v>15</v>
      </c>
      <c r="C66">
        <v>28</v>
      </c>
      <c r="D66" t="s">
        <v>42</v>
      </c>
      <c r="E66" s="7">
        <v>44758</v>
      </c>
      <c r="F66" s="6" t="s">
        <v>19</v>
      </c>
      <c r="G66" s="40">
        <v>43510</v>
      </c>
      <c r="H66" t="s">
        <v>205</v>
      </c>
      <c r="I66" s="9">
        <f ca="1">(TODAY()-All_Staff[[#This Row],[Date Joined]])/365</f>
        <v>3.504109589041096</v>
      </c>
      <c r="J66" s="41">
        <f>ROUNDUP(IF(All_Staff[[#This Row],[Salary]]&gt;2,3%,2%)*All_Staff[[#This Row],[Salary]],0)</f>
        <v>1306</v>
      </c>
      <c r="K66" s="46">
        <f>_xlfn.XLOOKUP(All_Staff[[#This Row],[Rating]],'Salary Vs Rating'!$E$2:$E$6,'Salary Vs Rating'!$F$2:$F$6)</f>
        <v>1</v>
      </c>
      <c r="L66" s="41"/>
      <c r="M66" s="41"/>
      <c r="N66" s="9"/>
    </row>
    <row r="67" spans="1:14" x14ac:dyDescent="0.3">
      <c r="A67" s="6" t="s">
        <v>127</v>
      </c>
      <c r="B67" s="6" t="s">
        <v>8</v>
      </c>
      <c r="C67">
        <v>38</v>
      </c>
      <c r="D67" t="s">
        <v>10</v>
      </c>
      <c r="E67" s="7">
        <v>44316</v>
      </c>
      <c r="F67" s="6" t="s">
        <v>19</v>
      </c>
      <c r="G67" s="40">
        <v>109160</v>
      </c>
      <c r="H67" t="s">
        <v>205</v>
      </c>
      <c r="I67" s="9">
        <f ca="1">(TODAY()-All_Staff[[#This Row],[Date Joined]])/365</f>
        <v>4.7150684931506852</v>
      </c>
      <c r="J67" s="41">
        <f>ROUNDUP(IF(All_Staff[[#This Row],[Salary]]&gt;2,3%,2%)*All_Staff[[#This Row],[Salary]],0)</f>
        <v>3275</v>
      </c>
      <c r="K67" s="46">
        <f>_xlfn.XLOOKUP(All_Staff[[#This Row],[Rating]],'Salary Vs Rating'!$E$2:$E$6,'Salary Vs Rating'!$F$2:$F$6)</f>
        <v>5</v>
      </c>
      <c r="L67" s="41"/>
      <c r="M67" s="41"/>
      <c r="N67" s="9"/>
    </row>
    <row r="68" spans="1:14" x14ac:dyDescent="0.3">
      <c r="A68" s="6" t="s">
        <v>198</v>
      </c>
      <c r="B68" s="6" t="s">
        <v>15</v>
      </c>
      <c r="C68">
        <v>40</v>
      </c>
      <c r="D68" t="s">
        <v>16</v>
      </c>
      <c r="E68" s="7">
        <v>44204</v>
      </c>
      <c r="F68" s="6" t="s">
        <v>9</v>
      </c>
      <c r="G68" s="40">
        <v>99750</v>
      </c>
      <c r="H68" t="s">
        <v>205</v>
      </c>
      <c r="I68" s="9">
        <f ca="1">(TODAY()-All_Staff[[#This Row],[Date Joined]])/365</f>
        <v>5.021917808219178</v>
      </c>
      <c r="J68" s="41">
        <f>ROUNDUP(IF(All_Staff[[#This Row],[Salary]]&gt;2,3%,2%)*All_Staff[[#This Row],[Salary]],0)</f>
        <v>2993</v>
      </c>
      <c r="K68" s="46">
        <f>_xlfn.XLOOKUP(All_Staff[[#This Row],[Rating]],'Salary Vs Rating'!$E$2:$E$6,'Salary Vs Rating'!$F$2:$F$6)</f>
        <v>3</v>
      </c>
      <c r="L68" s="41"/>
      <c r="M68" s="41"/>
      <c r="N68" s="9"/>
    </row>
    <row r="69" spans="1:14" x14ac:dyDescent="0.3">
      <c r="A69" s="6" t="s">
        <v>124</v>
      </c>
      <c r="B69" s="6" t="s">
        <v>8</v>
      </c>
      <c r="C69">
        <v>31</v>
      </c>
      <c r="D69" t="s">
        <v>16</v>
      </c>
      <c r="E69" s="7">
        <v>44084</v>
      </c>
      <c r="F69" s="6" t="s">
        <v>12</v>
      </c>
      <c r="G69" s="40">
        <v>41980</v>
      </c>
      <c r="H69" t="s">
        <v>205</v>
      </c>
      <c r="I69" s="9">
        <f ca="1">(TODAY()-All_Staff[[#This Row],[Date Joined]])/365</f>
        <v>5.3506849315068497</v>
      </c>
      <c r="J69" s="41">
        <f>ROUNDUP(IF(All_Staff[[#This Row],[Salary]]&gt;2,3%,2%)*All_Staff[[#This Row],[Salary]],0)</f>
        <v>1260</v>
      </c>
      <c r="K69" s="46">
        <f>_xlfn.XLOOKUP(All_Staff[[#This Row],[Rating]],'Salary Vs Rating'!$E$2:$E$6,'Salary Vs Rating'!$F$2:$F$6)</f>
        <v>3</v>
      </c>
      <c r="L69" s="41"/>
      <c r="M69" s="41"/>
      <c r="N69" s="9"/>
    </row>
    <row r="70" spans="1:14" x14ac:dyDescent="0.3">
      <c r="A70" s="6" t="s">
        <v>187</v>
      </c>
      <c r="B70" s="6" t="s">
        <v>15</v>
      </c>
      <c r="C70">
        <v>36</v>
      </c>
      <c r="D70" t="s">
        <v>16</v>
      </c>
      <c r="E70" s="7">
        <v>44272</v>
      </c>
      <c r="F70" s="6" t="s">
        <v>21</v>
      </c>
      <c r="G70" s="40">
        <v>71380</v>
      </c>
      <c r="H70" t="s">
        <v>205</v>
      </c>
      <c r="I70" s="9">
        <f ca="1">(TODAY()-All_Staff[[#This Row],[Date Joined]])/365</f>
        <v>4.8356164383561646</v>
      </c>
      <c r="J70" s="41">
        <f>ROUNDUP(IF(All_Staff[[#This Row],[Salary]]&gt;2,3%,2%)*All_Staff[[#This Row],[Salary]],0)</f>
        <v>2142</v>
      </c>
      <c r="K70" s="46">
        <f>_xlfn.XLOOKUP(All_Staff[[#This Row],[Rating]],'Salary Vs Rating'!$E$2:$E$6,'Salary Vs Rating'!$F$2:$F$6)</f>
        <v>3</v>
      </c>
      <c r="L70" s="41"/>
      <c r="M70" s="41"/>
      <c r="N70" s="9"/>
    </row>
    <row r="71" spans="1:14" x14ac:dyDescent="0.3">
      <c r="A71" s="6" t="s">
        <v>191</v>
      </c>
      <c r="B71" s="6" t="s">
        <v>15</v>
      </c>
      <c r="C71">
        <v>27</v>
      </c>
      <c r="D71" t="s">
        <v>42</v>
      </c>
      <c r="E71" s="7">
        <v>44547</v>
      </c>
      <c r="F71" s="6" t="s">
        <v>9</v>
      </c>
      <c r="G71" s="40">
        <v>113280</v>
      </c>
      <c r="H71" t="s">
        <v>205</v>
      </c>
      <c r="I71" s="9">
        <f ca="1">(TODAY()-All_Staff[[#This Row],[Date Joined]])/365</f>
        <v>4.0821917808219181</v>
      </c>
      <c r="J71" s="41">
        <f>ROUNDUP(IF(All_Staff[[#This Row],[Salary]]&gt;2,3%,2%)*All_Staff[[#This Row],[Salary]],0)</f>
        <v>3399</v>
      </c>
      <c r="K71" s="46">
        <f>_xlfn.XLOOKUP(All_Staff[[#This Row],[Rating]],'Salary Vs Rating'!$E$2:$E$6,'Salary Vs Rating'!$F$2:$F$6)</f>
        <v>1</v>
      </c>
      <c r="L71" s="41"/>
      <c r="M71" s="41"/>
      <c r="N71" s="9"/>
    </row>
    <row r="72" spans="1:14" x14ac:dyDescent="0.3">
      <c r="A72" s="6" t="s">
        <v>181</v>
      </c>
      <c r="B72" s="6" t="s">
        <v>8</v>
      </c>
      <c r="C72">
        <v>33</v>
      </c>
      <c r="D72" t="s">
        <v>16</v>
      </c>
      <c r="E72" s="7">
        <v>44747</v>
      </c>
      <c r="F72" s="6" t="s">
        <v>21</v>
      </c>
      <c r="G72" s="40">
        <v>86570</v>
      </c>
      <c r="H72" t="s">
        <v>205</v>
      </c>
      <c r="I72" s="9">
        <f ca="1">(TODAY()-All_Staff[[#This Row],[Date Joined]])/365</f>
        <v>3.5342465753424657</v>
      </c>
      <c r="J72" s="41">
        <f>ROUNDUP(IF(All_Staff[[#This Row],[Salary]]&gt;2,3%,2%)*All_Staff[[#This Row],[Salary]],0)</f>
        <v>2598</v>
      </c>
      <c r="K72" s="46">
        <f>_xlfn.XLOOKUP(All_Staff[[#This Row],[Rating]],'Salary Vs Rating'!$E$2:$E$6,'Salary Vs Rating'!$F$2:$F$6)</f>
        <v>3</v>
      </c>
      <c r="L72" s="41"/>
      <c r="M72" s="41"/>
      <c r="N72" s="9"/>
    </row>
    <row r="73" spans="1:14" x14ac:dyDescent="0.3">
      <c r="A73" s="6" t="s">
        <v>139</v>
      </c>
      <c r="B73" s="6" t="s">
        <v>15</v>
      </c>
      <c r="C73">
        <v>26</v>
      </c>
      <c r="D73" t="s">
        <v>16</v>
      </c>
      <c r="E73" s="7">
        <v>44350</v>
      </c>
      <c r="F73" s="6" t="s">
        <v>9</v>
      </c>
      <c r="G73" s="40">
        <v>53540</v>
      </c>
      <c r="H73" t="s">
        <v>205</v>
      </c>
      <c r="I73" s="9">
        <f ca="1">(TODAY()-All_Staff[[#This Row],[Date Joined]])/365</f>
        <v>4.6219178082191785</v>
      </c>
      <c r="J73" s="41">
        <f>ROUNDUP(IF(All_Staff[[#This Row],[Salary]]&gt;2,3%,2%)*All_Staff[[#This Row],[Salary]],0)</f>
        <v>1607</v>
      </c>
      <c r="K73" s="46">
        <f>_xlfn.XLOOKUP(All_Staff[[#This Row],[Rating]],'Salary Vs Rating'!$E$2:$E$6,'Salary Vs Rating'!$F$2:$F$6)</f>
        <v>3</v>
      </c>
      <c r="L73" s="41"/>
      <c r="M73" s="41"/>
      <c r="N73" s="9"/>
    </row>
    <row r="74" spans="1:14" x14ac:dyDescent="0.3">
      <c r="A74" s="6" t="s">
        <v>190</v>
      </c>
      <c r="B74" s="6" t="s">
        <v>15</v>
      </c>
      <c r="C74">
        <v>37</v>
      </c>
      <c r="D74" t="s">
        <v>16</v>
      </c>
      <c r="E74" s="7">
        <v>44640</v>
      </c>
      <c r="F74" s="6" t="s">
        <v>12</v>
      </c>
      <c r="G74" s="40">
        <v>69070</v>
      </c>
      <c r="H74" t="s">
        <v>205</v>
      </c>
      <c r="I74" s="9">
        <f ca="1">(TODAY()-All_Staff[[#This Row],[Date Joined]])/365</f>
        <v>3.8273972602739725</v>
      </c>
      <c r="J74" s="41">
        <f>ROUNDUP(IF(All_Staff[[#This Row],[Salary]]&gt;2,3%,2%)*All_Staff[[#This Row],[Salary]],0)</f>
        <v>2073</v>
      </c>
      <c r="K74" s="46">
        <f>_xlfn.XLOOKUP(All_Staff[[#This Row],[Rating]],'Salary Vs Rating'!$E$2:$E$6,'Salary Vs Rating'!$F$2:$F$6)</f>
        <v>3</v>
      </c>
      <c r="L74" s="41"/>
      <c r="M74" s="41"/>
      <c r="N74" s="9"/>
    </row>
    <row r="75" spans="1:14" x14ac:dyDescent="0.3">
      <c r="A75" s="6" t="s">
        <v>121</v>
      </c>
      <c r="B75" s="6" t="s">
        <v>8</v>
      </c>
      <c r="C75">
        <v>30</v>
      </c>
      <c r="D75" t="s">
        <v>24</v>
      </c>
      <c r="E75" s="7">
        <v>44328</v>
      </c>
      <c r="F75" s="6" t="s">
        <v>21</v>
      </c>
      <c r="G75" s="40">
        <v>67910</v>
      </c>
      <c r="H75" t="s">
        <v>205</v>
      </c>
      <c r="I75" s="9">
        <f ca="1">(TODAY()-All_Staff[[#This Row],[Date Joined]])/365</f>
        <v>4.6821917808219178</v>
      </c>
      <c r="J75" s="41">
        <f>ROUNDUP(IF(All_Staff[[#This Row],[Salary]]&gt;2,3%,2%)*All_Staff[[#This Row],[Salary]],0)</f>
        <v>2038</v>
      </c>
      <c r="K75" s="46">
        <f>_xlfn.XLOOKUP(All_Staff[[#This Row],[Rating]],'Salary Vs Rating'!$E$2:$E$6,'Salary Vs Rating'!$F$2:$F$6)</f>
        <v>2</v>
      </c>
      <c r="L75" s="41"/>
      <c r="M75" s="41"/>
      <c r="N75" s="9"/>
    </row>
    <row r="76" spans="1:14" x14ac:dyDescent="0.3">
      <c r="A76" s="6" t="s">
        <v>119</v>
      </c>
      <c r="B76" s="6" t="s">
        <v>15</v>
      </c>
      <c r="C76">
        <v>30</v>
      </c>
      <c r="D76" t="s">
        <v>16</v>
      </c>
      <c r="E76" s="7">
        <v>44214</v>
      </c>
      <c r="F76" s="6" t="s">
        <v>12</v>
      </c>
      <c r="G76" s="40">
        <v>69120</v>
      </c>
      <c r="H76" t="s">
        <v>205</v>
      </c>
      <c r="I76" s="9">
        <f ca="1">(TODAY()-All_Staff[[#This Row],[Date Joined]])/365</f>
        <v>4.9945205479452053</v>
      </c>
      <c r="J76" s="41">
        <f>ROUNDUP(IF(All_Staff[[#This Row],[Salary]]&gt;2,3%,2%)*All_Staff[[#This Row],[Salary]],0)</f>
        <v>2074</v>
      </c>
      <c r="K76" s="46">
        <f>_xlfn.XLOOKUP(All_Staff[[#This Row],[Rating]],'Salary Vs Rating'!$E$2:$E$6,'Salary Vs Rating'!$F$2:$F$6)</f>
        <v>3</v>
      </c>
      <c r="L76" s="41"/>
      <c r="M76" s="41"/>
      <c r="N76" s="9"/>
    </row>
    <row r="77" spans="1:14" x14ac:dyDescent="0.3">
      <c r="A77" s="6" t="s">
        <v>132</v>
      </c>
      <c r="B77" s="6" t="s">
        <v>8</v>
      </c>
      <c r="C77">
        <v>34</v>
      </c>
      <c r="D77" t="s">
        <v>16</v>
      </c>
      <c r="E77" s="7">
        <v>44550</v>
      </c>
      <c r="F77" s="6" t="s">
        <v>21</v>
      </c>
      <c r="G77" s="40">
        <v>60130</v>
      </c>
      <c r="H77" t="s">
        <v>205</v>
      </c>
      <c r="I77" s="9">
        <f ca="1">(TODAY()-All_Staff[[#This Row],[Date Joined]])/365</f>
        <v>4.0739726027397261</v>
      </c>
      <c r="J77" s="41">
        <f>ROUNDUP(IF(All_Staff[[#This Row],[Salary]]&gt;2,3%,2%)*All_Staff[[#This Row],[Salary]],0)</f>
        <v>1804</v>
      </c>
      <c r="K77" s="46">
        <f>_xlfn.XLOOKUP(All_Staff[[#This Row],[Rating]],'Salary Vs Rating'!$E$2:$E$6,'Salary Vs Rating'!$F$2:$F$6)</f>
        <v>3</v>
      </c>
      <c r="L77" s="41"/>
      <c r="M77" s="41"/>
      <c r="N77" s="9"/>
    </row>
    <row r="78" spans="1:14" x14ac:dyDescent="0.3">
      <c r="A78" s="6" t="s">
        <v>161</v>
      </c>
      <c r="B78" s="6" t="s">
        <v>15</v>
      </c>
      <c r="C78">
        <v>23</v>
      </c>
      <c r="D78" t="s">
        <v>16</v>
      </c>
      <c r="E78" s="7">
        <v>44378</v>
      </c>
      <c r="F78" s="6" t="s">
        <v>9</v>
      </c>
      <c r="G78" s="40">
        <v>106460</v>
      </c>
      <c r="H78" t="s">
        <v>205</v>
      </c>
      <c r="I78" s="9">
        <f ca="1">(TODAY()-All_Staff[[#This Row],[Date Joined]])/365</f>
        <v>4.5452054794520551</v>
      </c>
      <c r="J78" s="41">
        <f>ROUNDUP(IF(All_Staff[[#This Row],[Salary]]&gt;2,3%,2%)*All_Staff[[#This Row],[Salary]],0)</f>
        <v>3194</v>
      </c>
      <c r="K78" s="46">
        <f>_xlfn.XLOOKUP(All_Staff[[#This Row],[Rating]],'Salary Vs Rating'!$E$2:$E$6,'Salary Vs Rating'!$F$2:$F$6)</f>
        <v>3</v>
      </c>
      <c r="L78" s="41"/>
      <c r="M78" s="41"/>
      <c r="N78" s="9"/>
    </row>
    <row r="79" spans="1:14" x14ac:dyDescent="0.3">
      <c r="A79" s="6" t="s">
        <v>148</v>
      </c>
      <c r="B79" s="6" t="s">
        <v>8</v>
      </c>
      <c r="C79">
        <v>37</v>
      </c>
      <c r="D79" t="s">
        <v>16</v>
      </c>
      <c r="E79" s="7">
        <v>44389</v>
      </c>
      <c r="F79" s="6" t="s">
        <v>56</v>
      </c>
      <c r="G79" s="40">
        <v>118100</v>
      </c>
      <c r="H79" t="s">
        <v>205</v>
      </c>
      <c r="I79" s="9">
        <f ca="1">(TODAY()-All_Staff[[#This Row],[Date Joined]])/365</f>
        <v>4.515068493150685</v>
      </c>
      <c r="J79" s="41">
        <f>ROUNDUP(IF(All_Staff[[#This Row],[Salary]]&gt;2,3%,2%)*All_Staff[[#This Row],[Salary]],0)</f>
        <v>3543</v>
      </c>
      <c r="K79" s="46">
        <f>_xlfn.XLOOKUP(All_Staff[[#This Row],[Rating]],'Salary Vs Rating'!$E$2:$E$6,'Salary Vs Rating'!$F$2:$F$6)</f>
        <v>3</v>
      </c>
      <c r="L79" s="41"/>
      <c r="M79" s="41"/>
      <c r="N79" s="9"/>
    </row>
    <row r="80" spans="1:14" x14ac:dyDescent="0.3">
      <c r="A80" s="6" t="s">
        <v>164</v>
      </c>
      <c r="B80" s="6" t="s">
        <v>8</v>
      </c>
      <c r="C80">
        <v>36</v>
      </c>
      <c r="D80" t="s">
        <v>16</v>
      </c>
      <c r="E80" s="7">
        <v>44468</v>
      </c>
      <c r="F80" s="6" t="s">
        <v>9</v>
      </c>
      <c r="G80" s="40">
        <v>78390</v>
      </c>
      <c r="H80" t="s">
        <v>205</v>
      </c>
      <c r="I80" s="9">
        <f ca="1">(TODAY()-All_Staff[[#This Row],[Date Joined]])/365</f>
        <v>4.2986301369863016</v>
      </c>
      <c r="J80" s="41">
        <f>ROUNDUP(IF(All_Staff[[#This Row],[Salary]]&gt;2,3%,2%)*All_Staff[[#This Row],[Salary]],0)</f>
        <v>2352</v>
      </c>
      <c r="K80" s="46">
        <f>_xlfn.XLOOKUP(All_Staff[[#This Row],[Rating]],'Salary Vs Rating'!$E$2:$E$6,'Salary Vs Rating'!$F$2:$F$6)</f>
        <v>3</v>
      </c>
      <c r="L80" s="41"/>
      <c r="M80" s="41"/>
      <c r="N80" s="9"/>
    </row>
    <row r="81" spans="1:14" x14ac:dyDescent="0.3">
      <c r="A81" s="6" t="s">
        <v>147</v>
      </c>
      <c r="B81" s="6" t="s">
        <v>8</v>
      </c>
      <c r="C81">
        <v>30</v>
      </c>
      <c r="D81" t="s">
        <v>16</v>
      </c>
      <c r="E81" s="7">
        <v>44789</v>
      </c>
      <c r="F81" s="6" t="s">
        <v>9</v>
      </c>
      <c r="G81" s="40">
        <v>114180</v>
      </c>
      <c r="H81" t="s">
        <v>205</v>
      </c>
      <c r="I81" s="9">
        <f ca="1">(TODAY()-All_Staff[[#This Row],[Date Joined]])/365</f>
        <v>3.419178082191781</v>
      </c>
      <c r="J81" s="41">
        <f>ROUNDUP(IF(All_Staff[[#This Row],[Salary]]&gt;2,3%,2%)*All_Staff[[#This Row],[Salary]],0)</f>
        <v>3426</v>
      </c>
      <c r="K81" s="46">
        <f>_xlfn.XLOOKUP(All_Staff[[#This Row],[Rating]],'Salary Vs Rating'!$E$2:$E$6,'Salary Vs Rating'!$F$2:$F$6)</f>
        <v>3</v>
      </c>
      <c r="L81" s="41"/>
      <c r="M81" s="41"/>
      <c r="N81" s="9"/>
    </row>
    <row r="82" spans="1:14" x14ac:dyDescent="0.3">
      <c r="A82" s="6" t="s">
        <v>189</v>
      </c>
      <c r="B82" s="6" t="s">
        <v>8</v>
      </c>
      <c r="C82">
        <v>28</v>
      </c>
      <c r="D82" t="s">
        <v>16</v>
      </c>
      <c r="E82" s="7">
        <v>44590</v>
      </c>
      <c r="F82" s="6" t="s">
        <v>9</v>
      </c>
      <c r="G82" s="40">
        <v>104120</v>
      </c>
      <c r="H82" t="s">
        <v>205</v>
      </c>
      <c r="I82" s="9">
        <f ca="1">(TODAY()-All_Staff[[#This Row],[Date Joined]])/365</f>
        <v>3.9643835616438357</v>
      </c>
      <c r="J82" s="41">
        <f>ROUNDUP(IF(All_Staff[[#This Row],[Salary]]&gt;2,3%,2%)*All_Staff[[#This Row],[Salary]],0)</f>
        <v>3124</v>
      </c>
      <c r="K82" s="46">
        <f>_xlfn.XLOOKUP(All_Staff[[#This Row],[Rating]],'Salary Vs Rating'!$E$2:$E$6,'Salary Vs Rating'!$F$2:$F$6)</f>
        <v>3</v>
      </c>
      <c r="L82" s="41"/>
      <c r="M82" s="41"/>
      <c r="N82" s="9"/>
    </row>
    <row r="83" spans="1:14" x14ac:dyDescent="0.3">
      <c r="A83" s="6" t="s">
        <v>138</v>
      </c>
      <c r="B83" s="6" t="s">
        <v>15</v>
      </c>
      <c r="C83">
        <v>30</v>
      </c>
      <c r="D83" t="s">
        <v>16</v>
      </c>
      <c r="E83" s="7">
        <v>44640</v>
      </c>
      <c r="F83" s="6" t="s">
        <v>9</v>
      </c>
      <c r="G83" s="40">
        <v>67950</v>
      </c>
      <c r="H83" t="s">
        <v>205</v>
      </c>
      <c r="I83" s="9">
        <f ca="1">(TODAY()-All_Staff[[#This Row],[Date Joined]])/365</f>
        <v>3.8273972602739725</v>
      </c>
      <c r="J83" s="41">
        <f>ROUNDUP(IF(All_Staff[[#This Row],[Salary]]&gt;2,3%,2%)*All_Staff[[#This Row],[Salary]],0)</f>
        <v>2039</v>
      </c>
      <c r="K83" s="46">
        <f>_xlfn.XLOOKUP(All_Staff[[#This Row],[Rating]],'Salary Vs Rating'!$E$2:$E$6,'Salary Vs Rating'!$F$2:$F$6)</f>
        <v>3</v>
      </c>
      <c r="L83" s="41"/>
      <c r="M83" s="41"/>
      <c r="N83" s="9"/>
    </row>
    <row r="84" spans="1:14" x14ac:dyDescent="0.3">
      <c r="A84" s="6" t="s">
        <v>137</v>
      </c>
      <c r="B84" s="6" t="s">
        <v>8</v>
      </c>
      <c r="C84">
        <v>29</v>
      </c>
      <c r="D84" t="s">
        <v>16</v>
      </c>
      <c r="E84" s="7">
        <v>43962</v>
      </c>
      <c r="F84" s="6" t="s">
        <v>12</v>
      </c>
      <c r="G84" s="40">
        <v>34980</v>
      </c>
      <c r="H84" t="s">
        <v>205</v>
      </c>
      <c r="I84" s="9">
        <f ca="1">(TODAY()-All_Staff[[#This Row],[Date Joined]])/365</f>
        <v>5.6849315068493151</v>
      </c>
      <c r="J84" s="41">
        <f>ROUNDUP(IF(All_Staff[[#This Row],[Salary]]&gt;2,3%,2%)*All_Staff[[#This Row],[Salary]],0)</f>
        <v>1050</v>
      </c>
      <c r="K84" s="46">
        <f>_xlfn.XLOOKUP(All_Staff[[#This Row],[Rating]],'Salary Vs Rating'!$E$2:$E$6,'Salary Vs Rating'!$F$2:$F$6)</f>
        <v>3</v>
      </c>
      <c r="L84" s="41"/>
      <c r="M84" s="41"/>
      <c r="N84" s="9"/>
    </row>
    <row r="85" spans="1:14" x14ac:dyDescent="0.3">
      <c r="A85" s="6" t="s">
        <v>153</v>
      </c>
      <c r="B85" s="6" t="s">
        <v>8</v>
      </c>
      <c r="C85">
        <v>24</v>
      </c>
      <c r="D85" t="s">
        <v>16</v>
      </c>
      <c r="E85" s="7">
        <v>44087</v>
      </c>
      <c r="F85" s="6" t="s">
        <v>12</v>
      </c>
      <c r="G85" s="40">
        <v>62780</v>
      </c>
      <c r="H85" t="s">
        <v>205</v>
      </c>
      <c r="I85" s="9">
        <f ca="1">(TODAY()-All_Staff[[#This Row],[Date Joined]])/365</f>
        <v>5.3424657534246576</v>
      </c>
      <c r="J85" s="41">
        <f>ROUNDUP(IF(All_Staff[[#This Row],[Salary]]&gt;2,3%,2%)*All_Staff[[#This Row],[Salary]],0)</f>
        <v>1884</v>
      </c>
      <c r="K85" s="46">
        <f>_xlfn.XLOOKUP(All_Staff[[#This Row],[Rating]],'Salary Vs Rating'!$E$2:$E$6,'Salary Vs Rating'!$F$2:$F$6)</f>
        <v>3</v>
      </c>
      <c r="L85" s="41"/>
      <c r="M85" s="41"/>
      <c r="N85" s="9"/>
    </row>
    <row r="86" spans="1:14" x14ac:dyDescent="0.3">
      <c r="A86" s="6" t="s">
        <v>117</v>
      </c>
      <c r="B86" s="6" t="s">
        <v>15</v>
      </c>
      <c r="C86">
        <v>20</v>
      </c>
      <c r="D86" t="s">
        <v>16</v>
      </c>
      <c r="E86" s="7">
        <v>44397</v>
      </c>
      <c r="F86" s="6" t="s">
        <v>12</v>
      </c>
      <c r="G86" s="40">
        <v>107700</v>
      </c>
      <c r="H86" t="s">
        <v>205</v>
      </c>
      <c r="I86" s="9">
        <f ca="1">(TODAY()-All_Staff[[#This Row],[Date Joined]])/365</f>
        <v>4.493150684931507</v>
      </c>
      <c r="J86" s="41">
        <f>ROUNDUP(IF(All_Staff[[#This Row],[Salary]]&gt;2,3%,2%)*All_Staff[[#This Row],[Salary]],0)</f>
        <v>3231</v>
      </c>
      <c r="K86" s="46">
        <f>_xlfn.XLOOKUP(All_Staff[[#This Row],[Rating]],'Salary Vs Rating'!$E$2:$E$6,'Salary Vs Rating'!$F$2:$F$6)</f>
        <v>3</v>
      </c>
      <c r="L86" s="41"/>
      <c r="M86" s="41"/>
      <c r="N86" s="9"/>
    </row>
    <row r="87" spans="1:14" x14ac:dyDescent="0.3">
      <c r="A87" s="6" t="s">
        <v>168</v>
      </c>
      <c r="B87" s="6" t="s">
        <v>15</v>
      </c>
      <c r="C87">
        <v>25</v>
      </c>
      <c r="D87" t="s">
        <v>16</v>
      </c>
      <c r="E87" s="7">
        <v>44322</v>
      </c>
      <c r="F87" s="6" t="s">
        <v>19</v>
      </c>
      <c r="G87" s="40">
        <v>65700</v>
      </c>
      <c r="H87" t="s">
        <v>205</v>
      </c>
      <c r="I87" s="9">
        <f ca="1">(TODAY()-All_Staff[[#This Row],[Date Joined]])/365</f>
        <v>4.6986301369863011</v>
      </c>
      <c r="J87" s="41">
        <f>ROUNDUP(IF(All_Staff[[#This Row],[Salary]]&gt;2,3%,2%)*All_Staff[[#This Row],[Salary]],0)</f>
        <v>1971</v>
      </c>
      <c r="K87" s="46">
        <f>_xlfn.XLOOKUP(All_Staff[[#This Row],[Rating]],'Salary Vs Rating'!$E$2:$E$6,'Salary Vs Rating'!$F$2:$F$6)</f>
        <v>3</v>
      </c>
      <c r="L87" s="41"/>
      <c r="M87" s="41"/>
      <c r="N87" s="9"/>
    </row>
    <row r="88" spans="1:14" x14ac:dyDescent="0.3">
      <c r="A88" s="6" t="s">
        <v>135</v>
      </c>
      <c r="B88" s="6" t="s">
        <v>8</v>
      </c>
      <c r="C88">
        <v>33</v>
      </c>
      <c r="D88" t="s">
        <v>42</v>
      </c>
      <c r="E88" s="7">
        <v>44313</v>
      </c>
      <c r="F88" s="6" t="s">
        <v>12</v>
      </c>
      <c r="G88" s="40">
        <v>75480</v>
      </c>
      <c r="H88" t="s">
        <v>205</v>
      </c>
      <c r="I88" s="9">
        <f ca="1">(TODAY()-All_Staff[[#This Row],[Date Joined]])/365</f>
        <v>4.7232876712328764</v>
      </c>
      <c r="J88" s="41">
        <f>ROUNDUP(IF(All_Staff[[#This Row],[Salary]]&gt;2,3%,2%)*All_Staff[[#This Row],[Salary]],0)</f>
        <v>2265</v>
      </c>
      <c r="K88" s="46">
        <f>_xlfn.XLOOKUP(All_Staff[[#This Row],[Rating]],'Salary Vs Rating'!$E$2:$E$6,'Salary Vs Rating'!$F$2:$F$6)</f>
        <v>1</v>
      </c>
      <c r="L88" s="41"/>
      <c r="M88" s="41"/>
      <c r="N88" s="9"/>
    </row>
    <row r="89" spans="1:14" x14ac:dyDescent="0.3">
      <c r="A89" s="6" t="s">
        <v>174</v>
      </c>
      <c r="B89" s="6" t="s">
        <v>15</v>
      </c>
      <c r="C89">
        <v>33</v>
      </c>
      <c r="D89" t="s">
        <v>16</v>
      </c>
      <c r="E89" s="7">
        <v>44448</v>
      </c>
      <c r="F89" s="6" t="s">
        <v>12</v>
      </c>
      <c r="G89" s="40">
        <v>53870</v>
      </c>
      <c r="H89" t="s">
        <v>205</v>
      </c>
      <c r="I89" s="9">
        <f ca="1">(TODAY()-All_Staff[[#This Row],[Date Joined]])/365</f>
        <v>4.353424657534247</v>
      </c>
      <c r="J89" s="41">
        <f>ROUNDUP(IF(All_Staff[[#This Row],[Salary]]&gt;2,3%,2%)*All_Staff[[#This Row],[Salary]],0)</f>
        <v>1617</v>
      </c>
      <c r="K89" s="46">
        <f>_xlfn.XLOOKUP(All_Staff[[#This Row],[Rating]],'Salary Vs Rating'!$E$2:$E$6,'Salary Vs Rating'!$F$2:$F$6)</f>
        <v>3</v>
      </c>
      <c r="L89" s="41"/>
      <c r="M89" s="41"/>
      <c r="N89" s="9"/>
    </row>
    <row r="90" spans="1:14" x14ac:dyDescent="0.3">
      <c r="A90" s="6" t="s">
        <v>141</v>
      </c>
      <c r="B90" s="6" t="s">
        <v>8</v>
      </c>
      <c r="C90">
        <v>36</v>
      </c>
      <c r="D90" t="s">
        <v>16</v>
      </c>
      <c r="E90" s="7">
        <v>44433</v>
      </c>
      <c r="F90" s="6" t="s">
        <v>19</v>
      </c>
      <c r="G90" s="40">
        <v>78540</v>
      </c>
      <c r="H90" t="s">
        <v>205</v>
      </c>
      <c r="I90" s="9">
        <f ca="1">(TODAY()-All_Staff[[#This Row],[Date Joined]])/365</f>
        <v>4.3945205479452056</v>
      </c>
      <c r="J90" s="41">
        <f>ROUNDUP(IF(All_Staff[[#This Row],[Salary]]&gt;2,3%,2%)*All_Staff[[#This Row],[Salary]],0)</f>
        <v>2357</v>
      </c>
      <c r="K90" s="46">
        <f>_xlfn.XLOOKUP(All_Staff[[#This Row],[Rating]],'Salary Vs Rating'!$E$2:$E$6,'Salary Vs Rating'!$F$2:$F$6)</f>
        <v>3</v>
      </c>
      <c r="L90" s="41"/>
      <c r="M90" s="41"/>
      <c r="N90" s="9"/>
    </row>
    <row r="91" spans="1:14" x14ac:dyDescent="0.3">
      <c r="A91" s="6" t="s">
        <v>193</v>
      </c>
      <c r="B91" s="6" t="s">
        <v>15</v>
      </c>
      <c r="C91">
        <v>19</v>
      </c>
      <c r="D91" t="s">
        <v>16</v>
      </c>
      <c r="E91" s="7">
        <v>44218</v>
      </c>
      <c r="F91" s="6" t="s">
        <v>9</v>
      </c>
      <c r="G91" s="40">
        <v>58960</v>
      </c>
      <c r="H91" t="s">
        <v>205</v>
      </c>
      <c r="I91" s="9">
        <f ca="1">(TODAY()-All_Staff[[#This Row],[Date Joined]])/365</f>
        <v>4.9835616438356167</v>
      </c>
      <c r="J91" s="41">
        <f>ROUNDUP(IF(All_Staff[[#This Row],[Salary]]&gt;2,3%,2%)*All_Staff[[#This Row],[Salary]],0)</f>
        <v>1769</v>
      </c>
      <c r="K91" s="46">
        <f>_xlfn.XLOOKUP(All_Staff[[#This Row],[Rating]],'Salary Vs Rating'!$E$2:$E$6,'Salary Vs Rating'!$F$2:$F$6)</f>
        <v>3</v>
      </c>
      <c r="L91" s="41"/>
      <c r="M91" s="41"/>
      <c r="N91" s="9"/>
    </row>
    <row r="92" spans="1:14" x14ac:dyDescent="0.3">
      <c r="A92" s="6" t="s">
        <v>162</v>
      </c>
      <c r="B92" s="6" t="s">
        <v>15</v>
      </c>
      <c r="C92">
        <v>46</v>
      </c>
      <c r="D92" t="s">
        <v>16</v>
      </c>
      <c r="E92" s="7">
        <v>44697</v>
      </c>
      <c r="F92" s="6" t="s">
        <v>9</v>
      </c>
      <c r="G92" s="40">
        <v>70610</v>
      </c>
      <c r="H92" t="s">
        <v>205</v>
      </c>
      <c r="I92" s="9">
        <f ca="1">(TODAY()-All_Staff[[#This Row],[Date Joined]])/365</f>
        <v>3.6712328767123288</v>
      </c>
      <c r="J92" s="41">
        <f>ROUNDUP(IF(All_Staff[[#This Row],[Salary]]&gt;2,3%,2%)*All_Staff[[#This Row],[Salary]],0)</f>
        <v>2119</v>
      </c>
      <c r="K92" s="46">
        <f>_xlfn.XLOOKUP(All_Staff[[#This Row],[Rating]],'Salary Vs Rating'!$E$2:$E$6,'Salary Vs Rating'!$F$2:$F$6)</f>
        <v>3</v>
      </c>
      <c r="L92" s="41"/>
      <c r="M92" s="41"/>
      <c r="N92" s="9"/>
    </row>
    <row r="93" spans="1:14" x14ac:dyDescent="0.3">
      <c r="A93" s="6" t="s">
        <v>171</v>
      </c>
      <c r="B93" s="6" t="s">
        <v>15</v>
      </c>
      <c r="C93">
        <v>33</v>
      </c>
      <c r="D93" t="s">
        <v>16</v>
      </c>
      <c r="E93" s="7">
        <v>44181</v>
      </c>
      <c r="F93" s="6" t="s">
        <v>21</v>
      </c>
      <c r="G93" s="40">
        <v>59430</v>
      </c>
      <c r="H93" t="s">
        <v>205</v>
      </c>
      <c r="I93" s="9">
        <f ca="1">(TODAY()-All_Staff[[#This Row],[Date Joined]])/365</f>
        <v>5.0849315068493155</v>
      </c>
      <c r="J93" s="41">
        <f>ROUNDUP(IF(All_Staff[[#This Row],[Salary]]&gt;2,3%,2%)*All_Staff[[#This Row],[Salary]],0)</f>
        <v>1783</v>
      </c>
      <c r="K93" s="46">
        <f>_xlfn.XLOOKUP(All_Staff[[#This Row],[Rating]],'Salary Vs Rating'!$E$2:$E$6,'Salary Vs Rating'!$F$2:$F$6)</f>
        <v>3</v>
      </c>
      <c r="L93" s="41"/>
      <c r="M93" s="41"/>
      <c r="N93" s="9"/>
    </row>
    <row r="94" spans="1:14" x14ac:dyDescent="0.3">
      <c r="A94" s="6" t="s">
        <v>144</v>
      </c>
      <c r="B94" s="6" t="s">
        <v>15</v>
      </c>
      <c r="C94">
        <v>33</v>
      </c>
      <c r="D94" t="s">
        <v>13</v>
      </c>
      <c r="E94" s="7">
        <v>44640</v>
      </c>
      <c r="F94" s="6" t="s">
        <v>9</v>
      </c>
      <c r="G94" s="40">
        <v>48530</v>
      </c>
      <c r="H94" t="s">
        <v>205</v>
      </c>
      <c r="I94" s="9">
        <f ca="1">(TODAY()-All_Staff[[#This Row],[Date Joined]])/365</f>
        <v>3.8273972602739725</v>
      </c>
      <c r="J94" s="41">
        <f>ROUNDUP(IF(All_Staff[[#This Row],[Salary]]&gt;2,3%,2%)*All_Staff[[#This Row],[Salary]],0)</f>
        <v>1456</v>
      </c>
      <c r="K94" s="46">
        <f>_xlfn.XLOOKUP(All_Staff[[#This Row],[Rating]],'Salary Vs Rating'!$E$2:$E$6,'Salary Vs Rating'!$F$2:$F$6)</f>
        <v>4</v>
      </c>
      <c r="L94" s="41"/>
      <c r="M94" s="41"/>
      <c r="N94" s="9"/>
    </row>
    <row r="95" spans="1:14" x14ac:dyDescent="0.3">
      <c r="A95" s="6" t="s">
        <v>163</v>
      </c>
      <c r="B95" s="6" t="s">
        <v>8</v>
      </c>
      <c r="C95">
        <v>33</v>
      </c>
      <c r="D95" t="s">
        <v>16</v>
      </c>
      <c r="E95" s="7">
        <v>44129</v>
      </c>
      <c r="F95" s="6" t="s">
        <v>12</v>
      </c>
      <c r="G95" s="40">
        <v>96140</v>
      </c>
      <c r="H95" t="s">
        <v>205</v>
      </c>
      <c r="I95" s="9">
        <f ca="1">(TODAY()-All_Staff[[#This Row],[Date Joined]])/365</f>
        <v>5.2273972602739729</v>
      </c>
      <c r="J95" s="41">
        <f>ROUNDUP(IF(All_Staff[[#This Row],[Salary]]&gt;2,3%,2%)*All_Staff[[#This Row],[Salary]],0)</f>
        <v>2885</v>
      </c>
      <c r="K95" s="46">
        <f>_xlfn.XLOOKUP(All_Staff[[#This Row],[Rating]],'Salary Vs Rating'!$E$2:$E$6,'Salary Vs Rating'!$F$2:$F$6)</f>
        <v>3</v>
      </c>
      <c r="L95" s="41"/>
      <c r="M95" s="41"/>
      <c r="N95" s="9"/>
    </row>
    <row r="96" spans="1:14" x14ac:dyDescent="0.3">
      <c r="A96" s="6" t="s">
        <v>70</v>
      </c>
      <c r="B96" s="6" t="s">
        <v>15</v>
      </c>
      <c r="C96">
        <v>46</v>
      </c>
      <c r="D96" t="s">
        <v>16</v>
      </c>
      <c r="E96" s="7">
        <v>44758</v>
      </c>
      <c r="F96" s="6" t="s">
        <v>9</v>
      </c>
      <c r="G96" s="40">
        <v>70610</v>
      </c>
      <c r="H96" t="s">
        <v>207</v>
      </c>
      <c r="I96" s="9">
        <f ca="1">(TODAY()-All_Staff[[#This Row],[Date Joined]])/365</f>
        <v>3.504109589041096</v>
      </c>
      <c r="J96" s="41">
        <f>ROUNDUP(IF(All_Staff[[#This Row],[Salary]]&gt;2,3%,2%)*All_Staff[[#This Row],[Salary]],0)</f>
        <v>2119</v>
      </c>
      <c r="K96" s="46">
        <f>_xlfn.XLOOKUP(All_Staff[[#This Row],[Rating]],'Salary Vs Rating'!$E$2:$E$6,'Salary Vs Rating'!$F$2:$F$6)</f>
        <v>3</v>
      </c>
      <c r="L96" s="41"/>
      <c r="M96" s="41"/>
      <c r="N96" s="9"/>
    </row>
    <row r="97" spans="1:14" x14ac:dyDescent="0.3">
      <c r="A97" s="6" t="s">
        <v>75</v>
      </c>
      <c r="B97" s="6" t="s">
        <v>8</v>
      </c>
      <c r="C97">
        <v>28</v>
      </c>
      <c r="D97" t="s">
        <v>16</v>
      </c>
      <c r="E97" s="7">
        <v>44357</v>
      </c>
      <c r="F97" s="6" t="s">
        <v>19</v>
      </c>
      <c r="G97" s="40">
        <v>53240</v>
      </c>
      <c r="H97" t="s">
        <v>207</v>
      </c>
      <c r="I97" s="9">
        <f ca="1">(TODAY()-All_Staff[[#This Row],[Date Joined]])/365</f>
        <v>4.602739726027397</v>
      </c>
      <c r="J97" s="41">
        <f>ROUNDUP(IF(All_Staff[[#This Row],[Salary]]&gt;2,3%,2%)*All_Staff[[#This Row],[Salary]],0)</f>
        <v>1598</v>
      </c>
      <c r="K97" s="46">
        <f>_xlfn.XLOOKUP(All_Staff[[#This Row],[Rating]],'Salary Vs Rating'!$E$2:$E$6,'Salary Vs Rating'!$F$2:$F$6)</f>
        <v>3</v>
      </c>
      <c r="L97" s="41"/>
      <c r="M97" s="41"/>
      <c r="N97" s="9"/>
    </row>
    <row r="98" spans="1:14" x14ac:dyDescent="0.3">
      <c r="A98" s="6" t="s">
        <v>49</v>
      </c>
      <c r="B98" s="6" t="s">
        <v>206</v>
      </c>
      <c r="C98">
        <v>37</v>
      </c>
      <c r="D98" t="s">
        <v>24</v>
      </c>
      <c r="E98" s="7">
        <v>44146</v>
      </c>
      <c r="F98" s="6" t="s">
        <v>21</v>
      </c>
      <c r="G98" s="40">
        <v>115440</v>
      </c>
      <c r="H98" t="s">
        <v>207</v>
      </c>
      <c r="I98" s="9">
        <f ca="1">(TODAY()-All_Staff[[#This Row],[Date Joined]])/365</f>
        <v>5.1808219178082195</v>
      </c>
      <c r="J98" s="41">
        <f>ROUNDUP(IF(All_Staff[[#This Row],[Salary]]&gt;2,3%,2%)*All_Staff[[#This Row],[Salary]],0)</f>
        <v>3464</v>
      </c>
      <c r="K98" s="46">
        <f>_xlfn.XLOOKUP(All_Staff[[#This Row],[Rating]],'Salary Vs Rating'!$E$2:$E$6,'Salary Vs Rating'!$F$2:$F$6)</f>
        <v>2</v>
      </c>
      <c r="L98" s="41"/>
      <c r="M98" s="41"/>
      <c r="N98" s="9"/>
    </row>
    <row r="99" spans="1:14" x14ac:dyDescent="0.3">
      <c r="A99" s="6" t="s">
        <v>65</v>
      </c>
      <c r="B99" s="6" t="s">
        <v>15</v>
      </c>
      <c r="C99">
        <v>32</v>
      </c>
      <c r="D99" t="s">
        <v>16</v>
      </c>
      <c r="E99" s="7">
        <v>44465</v>
      </c>
      <c r="F99" s="6" t="s">
        <v>19</v>
      </c>
      <c r="G99" s="40">
        <v>53540</v>
      </c>
      <c r="H99" t="s">
        <v>207</v>
      </c>
      <c r="I99" s="9">
        <f ca="1">(TODAY()-All_Staff[[#This Row],[Date Joined]])/365</f>
        <v>4.3068493150684928</v>
      </c>
      <c r="J99" s="41">
        <f>ROUNDUP(IF(All_Staff[[#This Row],[Salary]]&gt;2,3%,2%)*All_Staff[[#This Row],[Salary]],0)</f>
        <v>1607</v>
      </c>
      <c r="K99" s="46">
        <f>_xlfn.XLOOKUP(All_Staff[[#This Row],[Rating]],'Salary Vs Rating'!$E$2:$E$6,'Salary Vs Rating'!$F$2:$F$6)</f>
        <v>3</v>
      </c>
      <c r="L99" s="41"/>
      <c r="M99" s="41"/>
      <c r="N99" s="9"/>
    </row>
    <row r="100" spans="1:14" x14ac:dyDescent="0.3">
      <c r="A100" s="6" t="s">
        <v>81</v>
      </c>
      <c r="B100" s="6" t="s">
        <v>8</v>
      </c>
      <c r="C100">
        <v>30</v>
      </c>
      <c r="D100" t="s">
        <v>16</v>
      </c>
      <c r="E100" s="7">
        <v>44861</v>
      </c>
      <c r="F100" s="6" t="s">
        <v>9</v>
      </c>
      <c r="G100" s="40">
        <v>112570</v>
      </c>
      <c r="H100" t="s">
        <v>207</v>
      </c>
      <c r="I100" s="9">
        <f ca="1">(TODAY()-All_Staff[[#This Row],[Date Joined]])/365</f>
        <v>3.2219178082191782</v>
      </c>
      <c r="J100" s="41">
        <f>ROUNDUP(IF(All_Staff[[#This Row],[Salary]]&gt;2,3%,2%)*All_Staff[[#This Row],[Salary]],0)</f>
        <v>3378</v>
      </c>
      <c r="K100" s="46">
        <f>_xlfn.XLOOKUP(All_Staff[[#This Row],[Rating]],'Salary Vs Rating'!$E$2:$E$6,'Salary Vs Rating'!$F$2:$F$6)</f>
        <v>3</v>
      </c>
      <c r="L100" s="41"/>
      <c r="M100" s="41"/>
      <c r="N100" s="9"/>
    </row>
    <row r="101" spans="1:14" x14ac:dyDescent="0.3">
      <c r="A101" s="6" t="s">
        <v>51</v>
      </c>
      <c r="B101" s="6" t="s">
        <v>15</v>
      </c>
      <c r="C101">
        <v>33</v>
      </c>
      <c r="D101" t="s">
        <v>13</v>
      </c>
      <c r="E101" s="7">
        <v>44701</v>
      </c>
      <c r="F101" s="6" t="s">
        <v>9</v>
      </c>
      <c r="G101" s="40">
        <v>48530</v>
      </c>
      <c r="H101" t="s">
        <v>207</v>
      </c>
      <c r="I101" s="9">
        <f ca="1">(TODAY()-All_Staff[[#This Row],[Date Joined]])/365</f>
        <v>3.6602739726027398</v>
      </c>
      <c r="J101" s="41">
        <f>ROUNDUP(IF(All_Staff[[#This Row],[Salary]]&gt;2,3%,2%)*All_Staff[[#This Row],[Salary]],0)</f>
        <v>1456</v>
      </c>
      <c r="K101" s="46">
        <f>_xlfn.XLOOKUP(All_Staff[[#This Row],[Rating]],'Salary Vs Rating'!$E$2:$E$6,'Salary Vs Rating'!$F$2:$F$6)</f>
        <v>4</v>
      </c>
      <c r="L101" s="41"/>
      <c r="M101" s="41"/>
      <c r="N101" s="9"/>
    </row>
    <row r="102" spans="1:14" x14ac:dyDescent="0.3">
      <c r="A102" s="6" t="s">
        <v>61</v>
      </c>
      <c r="B102" s="6" t="s">
        <v>8</v>
      </c>
      <c r="C102">
        <v>24</v>
      </c>
      <c r="D102" t="s">
        <v>16</v>
      </c>
      <c r="E102" s="7">
        <v>44148</v>
      </c>
      <c r="F102" s="6" t="s">
        <v>12</v>
      </c>
      <c r="G102" s="40">
        <v>62780</v>
      </c>
      <c r="H102" t="s">
        <v>207</v>
      </c>
      <c r="I102" s="9">
        <f ca="1">(TODAY()-All_Staff[[#This Row],[Date Joined]])/365</f>
        <v>5.1753424657534248</v>
      </c>
      <c r="J102" s="41">
        <f>ROUNDUP(IF(All_Staff[[#This Row],[Salary]]&gt;2,3%,2%)*All_Staff[[#This Row],[Salary]],0)</f>
        <v>1884</v>
      </c>
      <c r="K102" s="46">
        <f>_xlfn.XLOOKUP(All_Staff[[#This Row],[Rating]],'Salary Vs Rating'!$E$2:$E$6,'Salary Vs Rating'!$F$2:$F$6)</f>
        <v>3</v>
      </c>
      <c r="L102" s="41"/>
      <c r="M102" s="41"/>
      <c r="N102" s="9"/>
    </row>
    <row r="103" spans="1:14" x14ac:dyDescent="0.3">
      <c r="A103" s="6" t="s">
        <v>82</v>
      </c>
      <c r="B103" s="6" t="s">
        <v>15</v>
      </c>
      <c r="C103">
        <v>33</v>
      </c>
      <c r="D103" t="s">
        <v>16</v>
      </c>
      <c r="E103" s="7">
        <v>44509</v>
      </c>
      <c r="F103" s="6" t="s">
        <v>12</v>
      </c>
      <c r="G103" s="40">
        <v>53870</v>
      </c>
      <c r="H103" t="s">
        <v>207</v>
      </c>
      <c r="I103" s="9">
        <f ca="1">(TODAY()-All_Staff[[#This Row],[Date Joined]])/365</f>
        <v>4.1863013698630134</v>
      </c>
      <c r="J103" s="41">
        <f>ROUNDUP(IF(All_Staff[[#This Row],[Salary]]&gt;2,3%,2%)*All_Staff[[#This Row],[Salary]],0)</f>
        <v>1617</v>
      </c>
      <c r="K103" s="46">
        <f>_xlfn.XLOOKUP(All_Staff[[#This Row],[Rating]],'Salary Vs Rating'!$E$2:$E$6,'Salary Vs Rating'!$F$2:$F$6)</f>
        <v>3</v>
      </c>
      <c r="L103" s="41"/>
      <c r="M103" s="41"/>
      <c r="N103" s="9"/>
    </row>
    <row r="104" spans="1:14" x14ac:dyDescent="0.3">
      <c r="A104" s="6" t="s">
        <v>60</v>
      </c>
      <c r="B104" s="6" t="s">
        <v>8</v>
      </c>
      <c r="C104">
        <v>27</v>
      </c>
      <c r="D104" t="s">
        <v>16</v>
      </c>
      <c r="E104" s="7">
        <v>44122</v>
      </c>
      <c r="F104" s="6" t="s">
        <v>56</v>
      </c>
      <c r="G104" s="40">
        <v>119110</v>
      </c>
      <c r="H104" t="s">
        <v>207</v>
      </c>
      <c r="I104" s="9">
        <f ca="1">(TODAY()-All_Staff[[#This Row],[Date Joined]])/365</f>
        <v>5.2465753424657535</v>
      </c>
      <c r="J104" s="41">
        <f>ROUNDUP(IF(All_Staff[[#This Row],[Salary]]&gt;2,3%,2%)*All_Staff[[#This Row],[Salary]],0)</f>
        <v>3574</v>
      </c>
      <c r="K104" s="46">
        <f>_xlfn.XLOOKUP(All_Staff[[#This Row],[Rating]],'Salary Vs Rating'!$E$2:$E$6,'Salary Vs Rating'!$F$2:$F$6)</f>
        <v>3</v>
      </c>
      <c r="L104" s="41"/>
      <c r="M104" s="41"/>
      <c r="N104" s="9"/>
    </row>
    <row r="105" spans="1:14" x14ac:dyDescent="0.3">
      <c r="A105" s="6" t="s">
        <v>87</v>
      </c>
      <c r="B105" s="6" t="s">
        <v>15</v>
      </c>
      <c r="C105">
        <v>29</v>
      </c>
      <c r="D105" t="s">
        <v>24</v>
      </c>
      <c r="E105" s="7">
        <v>44180</v>
      </c>
      <c r="F105" s="6" t="s">
        <v>12</v>
      </c>
      <c r="G105" s="40">
        <v>112110</v>
      </c>
      <c r="H105" t="s">
        <v>207</v>
      </c>
      <c r="I105" s="9">
        <f ca="1">(TODAY()-All_Staff[[#This Row],[Date Joined]])/365</f>
        <v>5.087671232876712</v>
      </c>
      <c r="J105" s="41">
        <f>ROUNDUP(IF(All_Staff[[#This Row],[Salary]]&gt;2,3%,2%)*All_Staff[[#This Row],[Salary]],0)</f>
        <v>3364</v>
      </c>
      <c r="K105" s="46">
        <f>_xlfn.XLOOKUP(All_Staff[[#This Row],[Rating]],'Salary Vs Rating'!$E$2:$E$6,'Salary Vs Rating'!$F$2:$F$6)</f>
        <v>2</v>
      </c>
      <c r="L105" s="41"/>
      <c r="M105" s="41"/>
      <c r="N105" s="9"/>
    </row>
    <row r="106" spans="1:14" x14ac:dyDescent="0.3">
      <c r="A106" s="6" t="s">
        <v>76</v>
      </c>
      <c r="B106" s="6" t="s">
        <v>15</v>
      </c>
      <c r="C106">
        <v>25</v>
      </c>
      <c r="D106" t="s">
        <v>16</v>
      </c>
      <c r="E106" s="7">
        <v>44383</v>
      </c>
      <c r="F106" s="6" t="s">
        <v>19</v>
      </c>
      <c r="G106" s="40">
        <v>65700</v>
      </c>
      <c r="H106" t="s">
        <v>207</v>
      </c>
      <c r="I106" s="9">
        <f ca="1">(TODAY()-All_Staff[[#This Row],[Date Joined]])/365</f>
        <v>4.5315068493150683</v>
      </c>
      <c r="J106" s="41">
        <f>ROUNDUP(IF(All_Staff[[#This Row],[Salary]]&gt;2,3%,2%)*All_Staff[[#This Row],[Salary]],0)</f>
        <v>1971</v>
      </c>
      <c r="K106" s="46">
        <f>_xlfn.XLOOKUP(All_Staff[[#This Row],[Rating]],'Salary Vs Rating'!$E$2:$E$6,'Salary Vs Rating'!$F$2:$F$6)</f>
        <v>3</v>
      </c>
      <c r="L106" s="41"/>
      <c r="M106" s="41"/>
      <c r="N106" s="9"/>
    </row>
    <row r="107" spans="1:14" x14ac:dyDescent="0.3">
      <c r="A107" s="6" t="s">
        <v>97</v>
      </c>
      <c r="B107" s="6" t="s">
        <v>15</v>
      </c>
      <c r="C107">
        <v>37</v>
      </c>
      <c r="D107" t="s">
        <v>16</v>
      </c>
      <c r="E107" s="7">
        <v>44701</v>
      </c>
      <c r="F107" s="6" t="s">
        <v>12</v>
      </c>
      <c r="G107" s="40">
        <v>69070</v>
      </c>
      <c r="H107" t="s">
        <v>207</v>
      </c>
      <c r="I107" s="9">
        <f ca="1">(TODAY()-All_Staff[[#This Row],[Date Joined]])/365</f>
        <v>3.6602739726027398</v>
      </c>
      <c r="J107" s="41">
        <f>ROUNDUP(IF(All_Staff[[#This Row],[Salary]]&gt;2,3%,2%)*All_Staff[[#This Row],[Salary]],0)</f>
        <v>2073</v>
      </c>
      <c r="K107" s="46">
        <f>_xlfn.XLOOKUP(All_Staff[[#This Row],[Rating]],'Salary Vs Rating'!$E$2:$E$6,'Salary Vs Rating'!$F$2:$F$6)</f>
        <v>3</v>
      </c>
      <c r="L107" s="41"/>
      <c r="M107" s="41"/>
      <c r="N107" s="9"/>
    </row>
    <row r="108" spans="1:14" x14ac:dyDescent="0.3">
      <c r="A108" s="6" t="s">
        <v>22</v>
      </c>
      <c r="B108" s="6" t="s">
        <v>15</v>
      </c>
      <c r="C108">
        <v>20</v>
      </c>
      <c r="D108" t="s">
        <v>16</v>
      </c>
      <c r="E108" s="7">
        <v>44459</v>
      </c>
      <c r="F108" s="6" t="s">
        <v>12</v>
      </c>
      <c r="G108" s="40">
        <v>107700</v>
      </c>
      <c r="H108" t="s">
        <v>207</v>
      </c>
      <c r="I108" s="9">
        <f ca="1">(TODAY()-All_Staff[[#This Row],[Date Joined]])/365</f>
        <v>4.3232876712328769</v>
      </c>
      <c r="J108" s="41">
        <f>ROUNDUP(IF(All_Staff[[#This Row],[Salary]]&gt;2,3%,2%)*All_Staff[[#This Row],[Salary]],0)</f>
        <v>3231</v>
      </c>
      <c r="K108" s="46">
        <f>_xlfn.XLOOKUP(All_Staff[[#This Row],[Rating]],'Salary Vs Rating'!$E$2:$E$6,'Salary Vs Rating'!$F$2:$F$6)</f>
        <v>3</v>
      </c>
      <c r="L108" s="41"/>
      <c r="M108" s="41"/>
      <c r="N108" s="9"/>
    </row>
    <row r="109" spans="1:14" x14ac:dyDescent="0.3">
      <c r="A109" s="6" t="s">
        <v>84</v>
      </c>
      <c r="B109" s="6" t="s">
        <v>8</v>
      </c>
      <c r="C109">
        <v>32</v>
      </c>
      <c r="D109" t="s">
        <v>13</v>
      </c>
      <c r="E109" s="7">
        <v>44354</v>
      </c>
      <c r="F109" s="6" t="s">
        <v>12</v>
      </c>
      <c r="G109" s="40">
        <v>43840</v>
      </c>
      <c r="H109" t="s">
        <v>207</v>
      </c>
      <c r="I109" s="9">
        <f ca="1">(TODAY()-All_Staff[[#This Row],[Date Joined]])/365</f>
        <v>4.6109589041095891</v>
      </c>
      <c r="J109" s="41">
        <f>ROUNDUP(IF(All_Staff[[#This Row],[Salary]]&gt;2,3%,2%)*All_Staff[[#This Row],[Salary]],0)</f>
        <v>1316</v>
      </c>
      <c r="K109" s="46">
        <f>_xlfn.XLOOKUP(All_Staff[[#This Row],[Rating]],'Salary Vs Rating'!$E$2:$E$6,'Salary Vs Rating'!$F$2:$F$6)</f>
        <v>4</v>
      </c>
      <c r="L109" s="41"/>
      <c r="M109" s="41"/>
      <c r="N109" s="9"/>
    </row>
    <row r="110" spans="1:14" x14ac:dyDescent="0.3">
      <c r="A110" s="6" t="s">
        <v>105</v>
      </c>
      <c r="B110" s="6" t="s">
        <v>15</v>
      </c>
      <c r="C110">
        <v>40</v>
      </c>
      <c r="D110" t="s">
        <v>16</v>
      </c>
      <c r="E110" s="7">
        <v>44263</v>
      </c>
      <c r="F110" s="6" t="s">
        <v>9</v>
      </c>
      <c r="G110" s="40">
        <v>99750</v>
      </c>
      <c r="H110" t="s">
        <v>207</v>
      </c>
      <c r="I110" s="9">
        <f ca="1">(TODAY()-All_Staff[[#This Row],[Date Joined]])/365</f>
        <v>4.86027397260274</v>
      </c>
      <c r="J110" s="41">
        <f>ROUNDUP(IF(All_Staff[[#This Row],[Salary]]&gt;2,3%,2%)*All_Staff[[#This Row],[Salary]],0)</f>
        <v>2993</v>
      </c>
      <c r="K110" s="46">
        <f>_xlfn.XLOOKUP(All_Staff[[#This Row],[Rating]],'Salary Vs Rating'!$E$2:$E$6,'Salary Vs Rating'!$F$2:$F$6)</f>
        <v>3</v>
      </c>
      <c r="L110" s="41"/>
      <c r="M110" s="41"/>
      <c r="N110" s="9"/>
    </row>
    <row r="111" spans="1:14" x14ac:dyDescent="0.3">
      <c r="A111" s="6" t="s">
        <v>47</v>
      </c>
      <c r="B111" s="6" t="s">
        <v>15</v>
      </c>
      <c r="C111">
        <v>21</v>
      </c>
      <c r="D111" t="s">
        <v>16</v>
      </c>
      <c r="E111" s="7">
        <v>44104</v>
      </c>
      <c r="F111" s="6" t="s">
        <v>9</v>
      </c>
      <c r="G111" s="40">
        <v>37920</v>
      </c>
      <c r="H111" t="s">
        <v>207</v>
      </c>
      <c r="I111" s="9">
        <f ca="1">(TODAY()-All_Staff[[#This Row],[Date Joined]])/365</f>
        <v>5.2958904109589042</v>
      </c>
      <c r="J111" s="41">
        <f>ROUNDUP(IF(All_Staff[[#This Row],[Salary]]&gt;2,3%,2%)*All_Staff[[#This Row],[Salary]],0)</f>
        <v>1138</v>
      </c>
      <c r="K111" s="46">
        <f>_xlfn.XLOOKUP(All_Staff[[#This Row],[Rating]],'Salary Vs Rating'!$E$2:$E$6,'Salary Vs Rating'!$F$2:$F$6)</f>
        <v>3</v>
      </c>
      <c r="L111" s="41"/>
      <c r="M111" s="41"/>
      <c r="N111" s="9"/>
    </row>
    <row r="112" spans="1:14" x14ac:dyDescent="0.3">
      <c r="A112" s="6" t="s">
        <v>31</v>
      </c>
      <c r="B112" s="6" t="s">
        <v>15</v>
      </c>
      <c r="C112">
        <v>21</v>
      </c>
      <c r="D112" t="s">
        <v>16</v>
      </c>
      <c r="E112" s="7">
        <v>44762</v>
      </c>
      <c r="F112" s="6" t="s">
        <v>9</v>
      </c>
      <c r="G112" s="40">
        <v>57090</v>
      </c>
      <c r="H112" t="s">
        <v>207</v>
      </c>
      <c r="I112" s="9">
        <f ca="1">(TODAY()-All_Staff[[#This Row],[Date Joined]])/365</f>
        <v>3.493150684931507</v>
      </c>
      <c r="J112" s="41">
        <f>ROUNDUP(IF(All_Staff[[#This Row],[Salary]]&gt;2,3%,2%)*All_Staff[[#This Row],[Salary]],0)</f>
        <v>1713</v>
      </c>
      <c r="K112" s="46">
        <f>_xlfn.XLOOKUP(All_Staff[[#This Row],[Rating]],'Salary Vs Rating'!$E$2:$E$6,'Salary Vs Rating'!$F$2:$F$6)</f>
        <v>3</v>
      </c>
      <c r="L112" s="41"/>
      <c r="M112" s="41"/>
      <c r="N112" s="9"/>
    </row>
    <row r="113" spans="1:14" x14ac:dyDescent="0.3">
      <c r="A113" s="6" t="s">
        <v>30</v>
      </c>
      <c r="B113" s="6" t="s">
        <v>8</v>
      </c>
      <c r="C113">
        <v>31</v>
      </c>
      <c r="D113" t="s">
        <v>16</v>
      </c>
      <c r="E113" s="7">
        <v>44145</v>
      </c>
      <c r="F113" s="6" t="s">
        <v>12</v>
      </c>
      <c r="G113" s="40">
        <v>41980</v>
      </c>
      <c r="H113" t="s">
        <v>207</v>
      </c>
      <c r="I113" s="9">
        <f ca="1">(TODAY()-All_Staff[[#This Row],[Date Joined]])/365</f>
        <v>5.183561643835616</v>
      </c>
      <c r="J113" s="41">
        <f>ROUNDUP(IF(All_Staff[[#This Row],[Salary]]&gt;2,3%,2%)*All_Staff[[#This Row],[Salary]],0)</f>
        <v>1260</v>
      </c>
      <c r="K113" s="46">
        <f>_xlfn.XLOOKUP(All_Staff[[#This Row],[Rating]],'Salary Vs Rating'!$E$2:$E$6,'Salary Vs Rating'!$F$2:$F$6)</f>
        <v>3</v>
      </c>
      <c r="L113" s="41"/>
      <c r="M113" s="41"/>
      <c r="N113" s="9"/>
    </row>
    <row r="114" spans="1:14" x14ac:dyDescent="0.3">
      <c r="A114" s="6" t="s">
        <v>78</v>
      </c>
      <c r="B114" s="6" t="s">
        <v>15</v>
      </c>
      <c r="C114">
        <v>21</v>
      </c>
      <c r="D114" t="s">
        <v>16</v>
      </c>
      <c r="E114" s="7">
        <v>44242</v>
      </c>
      <c r="F114" s="6" t="s">
        <v>56</v>
      </c>
      <c r="G114" s="40">
        <v>75880</v>
      </c>
      <c r="H114" t="s">
        <v>207</v>
      </c>
      <c r="I114" s="9">
        <f ca="1">(TODAY()-All_Staff[[#This Row],[Date Joined]])/365</f>
        <v>4.9178082191780819</v>
      </c>
      <c r="J114" s="41">
        <f>ROUNDUP(IF(All_Staff[[#This Row],[Salary]]&gt;2,3%,2%)*All_Staff[[#This Row],[Salary]],0)</f>
        <v>2277</v>
      </c>
      <c r="K114" s="46">
        <f>_xlfn.XLOOKUP(All_Staff[[#This Row],[Rating]],'Salary Vs Rating'!$E$2:$E$6,'Salary Vs Rating'!$F$2:$F$6)</f>
        <v>3</v>
      </c>
      <c r="L114" s="41"/>
      <c r="M114" s="41"/>
      <c r="N114" s="9"/>
    </row>
    <row r="115" spans="1:14" x14ac:dyDescent="0.3">
      <c r="A115" s="6" t="s">
        <v>36</v>
      </c>
      <c r="B115" s="6" t="s">
        <v>8</v>
      </c>
      <c r="C115">
        <v>34</v>
      </c>
      <c r="D115" t="s">
        <v>16</v>
      </c>
      <c r="E115" s="7">
        <v>44653</v>
      </c>
      <c r="F115" s="6" t="s">
        <v>21</v>
      </c>
      <c r="G115" s="40">
        <v>58940</v>
      </c>
      <c r="H115" t="s">
        <v>207</v>
      </c>
      <c r="I115" s="9">
        <f ca="1">(TODAY()-All_Staff[[#This Row],[Date Joined]])/365</f>
        <v>3.7917808219178082</v>
      </c>
      <c r="J115" s="41">
        <f>ROUNDUP(IF(All_Staff[[#This Row],[Salary]]&gt;2,3%,2%)*All_Staff[[#This Row],[Salary]],0)</f>
        <v>1769</v>
      </c>
      <c r="K115" s="46">
        <f>_xlfn.XLOOKUP(All_Staff[[#This Row],[Rating]],'Salary Vs Rating'!$E$2:$E$6,'Salary Vs Rating'!$F$2:$F$6)</f>
        <v>3</v>
      </c>
      <c r="L115" s="41"/>
      <c r="M115" s="41"/>
      <c r="N115" s="9"/>
    </row>
    <row r="116" spans="1:14" x14ac:dyDescent="0.3">
      <c r="A116" s="6" t="s">
        <v>27</v>
      </c>
      <c r="B116" s="6" t="s">
        <v>8</v>
      </c>
      <c r="C116">
        <v>30</v>
      </c>
      <c r="D116" t="s">
        <v>24</v>
      </c>
      <c r="E116" s="7">
        <v>44389</v>
      </c>
      <c r="F116" s="6" t="s">
        <v>21</v>
      </c>
      <c r="G116" s="40">
        <v>67910</v>
      </c>
      <c r="H116" t="s">
        <v>207</v>
      </c>
      <c r="I116" s="9">
        <f ca="1">(TODAY()-All_Staff[[#This Row],[Date Joined]])/365</f>
        <v>4.515068493150685</v>
      </c>
      <c r="J116" s="41">
        <f>ROUNDUP(IF(All_Staff[[#This Row],[Salary]]&gt;2,3%,2%)*All_Staff[[#This Row],[Salary]],0)</f>
        <v>2038</v>
      </c>
      <c r="K116" s="46">
        <f>_xlfn.XLOOKUP(All_Staff[[#This Row],[Rating]],'Salary Vs Rating'!$E$2:$E$6,'Salary Vs Rating'!$F$2:$F$6)</f>
        <v>2</v>
      </c>
      <c r="L116" s="41"/>
      <c r="M116" s="41"/>
      <c r="N116" s="9"/>
    </row>
    <row r="117" spans="1:14" x14ac:dyDescent="0.3">
      <c r="A117" s="6" t="s">
        <v>26</v>
      </c>
      <c r="B117" s="6" t="s">
        <v>8</v>
      </c>
      <c r="C117">
        <v>31</v>
      </c>
      <c r="D117" t="s">
        <v>16</v>
      </c>
      <c r="E117" s="7">
        <v>44663</v>
      </c>
      <c r="F117" s="6" t="s">
        <v>12</v>
      </c>
      <c r="G117" s="40">
        <v>58100</v>
      </c>
      <c r="H117" t="s">
        <v>207</v>
      </c>
      <c r="I117" s="9">
        <f ca="1">(TODAY()-All_Staff[[#This Row],[Date Joined]])/365</f>
        <v>3.7643835616438355</v>
      </c>
      <c r="J117" s="41">
        <f>ROUNDUP(IF(All_Staff[[#This Row],[Salary]]&gt;2,3%,2%)*All_Staff[[#This Row],[Salary]],0)</f>
        <v>1743</v>
      </c>
      <c r="K117" s="46">
        <f>_xlfn.XLOOKUP(All_Staff[[#This Row],[Rating]],'Salary Vs Rating'!$E$2:$E$6,'Salary Vs Rating'!$F$2:$F$6)</f>
        <v>3</v>
      </c>
      <c r="L117" s="41"/>
      <c r="M117" s="41"/>
      <c r="N117" s="9"/>
    </row>
    <row r="118" spans="1:14" x14ac:dyDescent="0.3">
      <c r="A118" s="6" t="s">
        <v>53</v>
      </c>
      <c r="B118" s="6" t="s">
        <v>15</v>
      </c>
      <c r="C118">
        <v>27</v>
      </c>
      <c r="D118" t="s">
        <v>16</v>
      </c>
      <c r="E118" s="7">
        <v>44567</v>
      </c>
      <c r="F118" s="6" t="s">
        <v>21</v>
      </c>
      <c r="G118" s="40">
        <v>48980</v>
      </c>
      <c r="H118" t="s">
        <v>207</v>
      </c>
      <c r="I118" s="9">
        <f ca="1">(TODAY()-All_Staff[[#This Row],[Date Joined]])/365</f>
        <v>4.0273972602739727</v>
      </c>
      <c r="J118" s="41">
        <f>ROUNDUP(IF(All_Staff[[#This Row],[Salary]]&gt;2,3%,2%)*All_Staff[[#This Row],[Salary]],0)</f>
        <v>1470</v>
      </c>
      <c r="K118" s="46">
        <f>_xlfn.XLOOKUP(All_Staff[[#This Row],[Rating]],'Salary Vs Rating'!$E$2:$E$6,'Salary Vs Rating'!$F$2:$F$6)</f>
        <v>3</v>
      </c>
      <c r="L118" s="41"/>
      <c r="M118" s="41"/>
      <c r="N118" s="9"/>
    </row>
    <row r="119" spans="1:14" x14ac:dyDescent="0.3">
      <c r="A119" s="6" t="s">
        <v>20</v>
      </c>
      <c r="B119" s="6" t="s">
        <v>206</v>
      </c>
      <c r="C119">
        <v>30</v>
      </c>
      <c r="D119" t="s">
        <v>16</v>
      </c>
      <c r="E119" s="7">
        <v>44597</v>
      </c>
      <c r="F119" s="6" t="s">
        <v>21</v>
      </c>
      <c r="G119" s="40">
        <v>64000</v>
      </c>
      <c r="H119" t="s">
        <v>207</v>
      </c>
      <c r="I119" s="9">
        <f ca="1">(TODAY()-All_Staff[[#This Row],[Date Joined]])/365</f>
        <v>3.9452054794520546</v>
      </c>
      <c r="J119" s="41">
        <f>ROUNDUP(IF(All_Staff[[#This Row],[Salary]]&gt;2,3%,2%)*All_Staff[[#This Row],[Salary]],0)</f>
        <v>1920</v>
      </c>
      <c r="K119" s="46">
        <f>_xlfn.XLOOKUP(All_Staff[[#This Row],[Rating]],'Salary Vs Rating'!$E$2:$E$6,'Salary Vs Rating'!$F$2:$F$6)</f>
        <v>3</v>
      </c>
      <c r="L119" s="41"/>
      <c r="M119" s="41"/>
      <c r="N119" s="9"/>
    </row>
    <row r="120" spans="1:14" x14ac:dyDescent="0.3">
      <c r="A120" s="6" t="s">
        <v>7</v>
      </c>
      <c r="B120" s="6" t="s">
        <v>8</v>
      </c>
      <c r="C120">
        <v>42</v>
      </c>
      <c r="D120" t="s">
        <v>10</v>
      </c>
      <c r="E120" s="7">
        <v>44779</v>
      </c>
      <c r="F120" s="6" t="s">
        <v>9</v>
      </c>
      <c r="G120" s="40">
        <v>75000</v>
      </c>
      <c r="H120" t="s">
        <v>207</v>
      </c>
      <c r="I120" s="9">
        <f ca="1">(TODAY()-All_Staff[[#This Row],[Date Joined]])/365</f>
        <v>3.4465753424657533</v>
      </c>
      <c r="J120" s="41">
        <f>ROUNDUP(IF(All_Staff[[#This Row],[Salary]]&gt;2,3%,2%)*All_Staff[[#This Row],[Salary]],0)</f>
        <v>2250</v>
      </c>
      <c r="K120" s="46">
        <f>_xlfn.XLOOKUP(All_Staff[[#This Row],[Rating]],'Salary Vs Rating'!$E$2:$E$6,'Salary Vs Rating'!$F$2:$F$6)</f>
        <v>5</v>
      </c>
      <c r="L120" s="41"/>
      <c r="M120" s="41"/>
      <c r="N120" s="9"/>
    </row>
    <row r="121" spans="1:14" x14ac:dyDescent="0.3">
      <c r="A121" s="6" t="s">
        <v>74</v>
      </c>
      <c r="B121" s="6" t="s">
        <v>8</v>
      </c>
      <c r="C121">
        <v>40</v>
      </c>
      <c r="D121" t="s">
        <v>16</v>
      </c>
      <c r="E121" s="7">
        <v>44337</v>
      </c>
      <c r="F121" s="6" t="s">
        <v>12</v>
      </c>
      <c r="G121" s="40">
        <v>87620</v>
      </c>
      <c r="H121" t="s">
        <v>207</v>
      </c>
      <c r="I121" s="9">
        <f ca="1">(TODAY()-All_Staff[[#This Row],[Date Joined]])/365</f>
        <v>4.6575342465753424</v>
      </c>
      <c r="J121" s="41">
        <f>ROUNDUP(IF(All_Staff[[#This Row],[Salary]]&gt;2,3%,2%)*All_Staff[[#This Row],[Salary]],0)</f>
        <v>2629</v>
      </c>
      <c r="K121" s="46">
        <f>_xlfn.XLOOKUP(All_Staff[[#This Row],[Rating]],'Salary Vs Rating'!$E$2:$E$6,'Salary Vs Rating'!$F$2:$F$6)</f>
        <v>3</v>
      </c>
      <c r="L121" s="41"/>
      <c r="M121" s="41"/>
      <c r="N121" s="9"/>
    </row>
    <row r="122" spans="1:14" x14ac:dyDescent="0.3">
      <c r="A122" s="6" t="s">
        <v>44</v>
      </c>
      <c r="B122" s="6" t="s">
        <v>8</v>
      </c>
      <c r="C122">
        <v>29</v>
      </c>
      <c r="D122" t="s">
        <v>16</v>
      </c>
      <c r="E122" s="7">
        <v>44023</v>
      </c>
      <c r="F122" s="6" t="s">
        <v>12</v>
      </c>
      <c r="G122" s="40">
        <v>34980</v>
      </c>
      <c r="H122" t="s">
        <v>207</v>
      </c>
      <c r="I122" s="9">
        <f ca="1">(TODAY()-All_Staff[[#This Row],[Date Joined]])/365</f>
        <v>5.5178082191780824</v>
      </c>
      <c r="J122" s="41">
        <f>ROUNDUP(IF(All_Staff[[#This Row],[Salary]]&gt;2,3%,2%)*All_Staff[[#This Row],[Salary]],0)</f>
        <v>1050</v>
      </c>
      <c r="K122" s="46">
        <f>_xlfn.XLOOKUP(All_Staff[[#This Row],[Rating]],'Salary Vs Rating'!$E$2:$E$6,'Salary Vs Rating'!$F$2:$F$6)</f>
        <v>3</v>
      </c>
      <c r="L122" s="41"/>
      <c r="M122" s="41"/>
      <c r="N122" s="9"/>
    </row>
    <row r="123" spans="1:14" x14ac:dyDescent="0.3">
      <c r="A123" s="6" t="s">
        <v>35</v>
      </c>
      <c r="B123" s="6" t="s">
        <v>8</v>
      </c>
      <c r="C123">
        <v>28</v>
      </c>
      <c r="D123" t="s">
        <v>16</v>
      </c>
      <c r="E123" s="7">
        <v>44185</v>
      </c>
      <c r="F123" s="6" t="s">
        <v>21</v>
      </c>
      <c r="G123" s="40">
        <v>75970</v>
      </c>
      <c r="H123" t="s">
        <v>207</v>
      </c>
      <c r="I123" s="9">
        <f ca="1">(TODAY()-All_Staff[[#This Row],[Date Joined]])/365</f>
        <v>5.0739726027397261</v>
      </c>
      <c r="J123" s="41">
        <f>ROUNDUP(IF(All_Staff[[#This Row],[Salary]]&gt;2,3%,2%)*All_Staff[[#This Row],[Salary]],0)</f>
        <v>2280</v>
      </c>
      <c r="K123" s="46">
        <f>_xlfn.XLOOKUP(All_Staff[[#This Row],[Rating]],'Salary Vs Rating'!$E$2:$E$6,'Salary Vs Rating'!$F$2:$F$6)</f>
        <v>3</v>
      </c>
      <c r="L123" s="41"/>
      <c r="M123" s="41"/>
      <c r="N123" s="9"/>
    </row>
    <row r="124" spans="1:14" x14ac:dyDescent="0.3">
      <c r="A124" s="6" t="s">
        <v>38</v>
      </c>
      <c r="B124" s="6" t="s">
        <v>8</v>
      </c>
      <c r="C124">
        <v>34</v>
      </c>
      <c r="D124" t="s">
        <v>16</v>
      </c>
      <c r="E124" s="7">
        <v>44612</v>
      </c>
      <c r="F124" s="6" t="s">
        <v>21</v>
      </c>
      <c r="G124" s="40">
        <v>60130</v>
      </c>
      <c r="H124" t="s">
        <v>207</v>
      </c>
      <c r="I124" s="9">
        <f ca="1">(TODAY()-All_Staff[[#This Row],[Date Joined]])/365</f>
        <v>3.904109589041096</v>
      </c>
      <c r="J124" s="41">
        <f>ROUNDUP(IF(All_Staff[[#This Row],[Salary]]&gt;2,3%,2%)*All_Staff[[#This Row],[Salary]],0)</f>
        <v>1804</v>
      </c>
      <c r="K124" s="46">
        <f>_xlfn.XLOOKUP(All_Staff[[#This Row],[Rating]],'Salary Vs Rating'!$E$2:$E$6,'Salary Vs Rating'!$F$2:$F$6)</f>
        <v>3</v>
      </c>
      <c r="L124" s="41"/>
      <c r="M124" s="41"/>
      <c r="N124" s="9"/>
    </row>
    <row r="125" spans="1:14" x14ac:dyDescent="0.3">
      <c r="A125" s="6" t="s">
        <v>41</v>
      </c>
      <c r="B125" s="6" t="s">
        <v>8</v>
      </c>
      <c r="C125">
        <v>33</v>
      </c>
      <c r="D125" t="s">
        <v>42</v>
      </c>
      <c r="E125" s="7">
        <v>44374</v>
      </c>
      <c r="F125" s="6" t="s">
        <v>12</v>
      </c>
      <c r="G125" s="40">
        <v>75480</v>
      </c>
      <c r="H125" t="s">
        <v>207</v>
      </c>
      <c r="I125" s="9">
        <f ca="1">(TODAY()-All_Staff[[#This Row],[Date Joined]])/365</f>
        <v>4.5561643835616437</v>
      </c>
      <c r="J125" s="41">
        <f>ROUNDUP(IF(All_Staff[[#This Row],[Salary]]&gt;2,3%,2%)*All_Staff[[#This Row],[Salary]],0)</f>
        <v>2265</v>
      </c>
      <c r="K125" s="46">
        <f>_xlfn.XLOOKUP(All_Staff[[#This Row],[Rating]],'Salary Vs Rating'!$E$2:$E$6,'Salary Vs Rating'!$F$2:$F$6)</f>
        <v>1</v>
      </c>
      <c r="L125" s="41"/>
      <c r="M125" s="41"/>
      <c r="N125" s="9"/>
    </row>
    <row r="126" spans="1:14" x14ac:dyDescent="0.3">
      <c r="A126" s="6" t="s">
        <v>40</v>
      </c>
      <c r="B126" s="6" t="s">
        <v>15</v>
      </c>
      <c r="C126">
        <v>33</v>
      </c>
      <c r="D126" t="s">
        <v>16</v>
      </c>
      <c r="E126" s="7">
        <v>44164</v>
      </c>
      <c r="F126" s="6" t="s">
        <v>9</v>
      </c>
      <c r="G126" s="40">
        <v>115920</v>
      </c>
      <c r="H126" t="s">
        <v>207</v>
      </c>
      <c r="I126" s="9">
        <f ca="1">(TODAY()-All_Staff[[#This Row],[Date Joined]])/365</f>
        <v>5.1315068493150688</v>
      </c>
      <c r="J126" s="41">
        <f>ROUNDUP(IF(All_Staff[[#This Row],[Salary]]&gt;2,3%,2%)*All_Staff[[#This Row],[Salary]],0)</f>
        <v>3478</v>
      </c>
      <c r="K126" s="46">
        <f>_xlfn.XLOOKUP(All_Staff[[#This Row],[Rating]],'Salary Vs Rating'!$E$2:$E$6,'Salary Vs Rating'!$F$2:$F$6)</f>
        <v>3</v>
      </c>
      <c r="L126" s="41"/>
      <c r="M126" s="41"/>
      <c r="N126" s="9"/>
    </row>
    <row r="127" spans="1:14" x14ac:dyDescent="0.3">
      <c r="A127" s="6" t="s">
        <v>48</v>
      </c>
      <c r="B127" s="6" t="s">
        <v>8</v>
      </c>
      <c r="C127">
        <v>36</v>
      </c>
      <c r="D127" t="s">
        <v>16</v>
      </c>
      <c r="E127" s="7">
        <v>44494</v>
      </c>
      <c r="F127" s="6" t="s">
        <v>19</v>
      </c>
      <c r="G127" s="40">
        <v>78540</v>
      </c>
      <c r="H127" t="s">
        <v>207</v>
      </c>
      <c r="I127" s="9">
        <f ca="1">(TODAY()-All_Staff[[#This Row],[Date Joined]])/365</f>
        <v>4.2273972602739729</v>
      </c>
      <c r="J127" s="41">
        <f>ROUNDUP(IF(All_Staff[[#This Row],[Salary]]&gt;2,3%,2%)*All_Staff[[#This Row],[Salary]],0)</f>
        <v>2357</v>
      </c>
      <c r="K127" s="46">
        <f>_xlfn.XLOOKUP(All_Staff[[#This Row],[Rating]],'Salary Vs Rating'!$E$2:$E$6,'Salary Vs Rating'!$F$2:$F$6)</f>
        <v>3</v>
      </c>
      <c r="L127" s="41"/>
      <c r="M127" s="41"/>
      <c r="N127" s="9"/>
    </row>
    <row r="128" spans="1:14" x14ac:dyDescent="0.3">
      <c r="A128" s="6" t="s">
        <v>34</v>
      </c>
      <c r="B128" s="6" t="s">
        <v>15</v>
      </c>
      <c r="C128">
        <v>25</v>
      </c>
      <c r="D128" t="s">
        <v>13</v>
      </c>
      <c r="E128" s="7">
        <v>44726</v>
      </c>
      <c r="F128" s="6" t="s">
        <v>9</v>
      </c>
      <c r="G128" s="40">
        <v>109190</v>
      </c>
      <c r="H128" t="s">
        <v>207</v>
      </c>
      <c r="I128" s="9">
        <f ca="1">(TODAY()-All_Staff[[#This Row],[Date Joined]])/365</f>
        <v>3.591780821917808</v>
      </c>
      <c r="J128" s="41">
        <f>ROUNDUP(IF(All_Staff[[#This Row],[Salary]]&gt;2,3%,2%)*All_Staff[[#This Row],[Salary]],0)</f>
        <v>3276</v>
      </c>
      <c r="K128" s="46">
        <f>_xlfn.XLOOKUP(All_Staff[[#This Row],[Rating]],'Salary Vs Rating'!$E$2:$E$6,'Salary Vs Rating'!$F$2:$F$6)</f>
        <v>4</v>
      </c>
      <c r="L128" s="41"/>
      <c r="M128" s="41"/>
      <c r="N128" s="9"/>
    </row>
    <row r="129" spans="1:14" x14ac:dyDescent="0.3">
      <c r="A129" s="6" t="s">
        <v>73</v>
      </c>
      <c r="B129" s="6" t="s">
        <v>8</v>
      </c>
      <c r="C129">
        <v>34</v>
      </c>
      <c r="D129" t="s">
        <v>24</v>
      </c>
      <c r="E129" s="7">
        <v>44721</v>
      </c>
      <c r="F129" s="6" t="s">
        <v>19</v>
      </c>
      <c r="G129" s="40">
        <v>49630</v>
      </c>
      <c r="H129" t="s">
        <v>207</v>
      </c>
      <c r="I129" s="9">
        <f ca="1">(TODAY()-All_Staff[[#This Row],[Date Joined]])/365</f>
        <v>3.6054794520547944</v>
      </c>
      <c r="J129" s="41">
        <f>ROUNDUP(IF(All_Staff[[#This Row],[Salary]]&gt;2,3%,2%)*All_Staff[[#This Row],[Salary]],0)</f>
        <v>1489</v>
      </c>
      <c r="K129" s="46">
        <f>_xlfn.XLOOKUP(All_Staff[[#This Row],[Rating]],'Salary Vs Rating'!$E$2:$E$6,'Salary Vs Rating'!$F$2:$F$6)</f>
        <v>2</v>
      </c>
      <c r="L129" s="41"/>
      <c r="M129" s="41"/>
      <c r="N129" s="9"/>
    </row>
    <row r="130" spans="1:14" x14ac:dyDescent="0.3">
      <c r="A130" s="6" t="s">
        <v>107</v>
      </c>
      <c r="B130" s="6" t="s">
        <v>8</v>
      </c>
      <c r="C130">
        <v>28</v>
      </c>
      <c r="D130" t="s">
        <v>16</v>
      </c>
      <c r="E130" s="7">
        <v>44630</v>
      </c>
      <c r="F130" s="6" t="s">
        <v>9</v>
      </c>
      <c r="G130" s="40">
        <v>99970</v>
      </c>
      <c r="H130" t="s">
        <v>207</v>
      </c>
      <c r="I130" s="9">
        <f ca="1">(TODAY()-All_Staff[[#This Row],[Date Joined]])/365</f>
        <v>3.8547945205479452</v>
      </c>
      <c r="J130" s="41">
        <f>ROUNDUP(IF(All_Staff[[#This Row],[Salary]]&gt;2,3%,2%)*All_Staff[[#This Row],[Salary]],0)</f>
        <v>3000</v>
      </c>
      <c r="K130" s="46">
        <f>_xlfn.XLOOKUP(All_Staff[[#This Row],[Rating]],'Salary Vs Rating'!$E$2:$E$6,'Salary Vs Rating'!$F$2:$F$6)</f>
        <v>3</v>
      </c>
      <c r="L130" s="41"/>
      <c r="M130" s="41"/>
      <c r="N130" s="9"/>
    </row>
    <row r="131" spans="1:14" x14ac:dyDescent="0.3">
      <c r="A131" s="6" t="s">
        <v>71</v>
      </c>
      <c r="B131" s="6" t="s">
        <v>8</v>
      </c>
      <c r="C131">
        <v>33</v>
      </c>
      <c r="D131" t="s">
        <v>16</v>
      </c>
      <c r="E131" s="7">
        <v>44190</v>
      </c>
      <c r="F131" s="6" t="s">
        <v>12</v>
      </c>
      <c r="G131" s="40">
        <v>96140</v>
      </c>
      <c r="H131" t="s">
        <v>207</v>
      </c>
      <c r="I131" s="9">
        <f ca="1">(TODAY()-All_Staff[[#This Row],[Date Joined]])/365</f>
        <v>5.0602739726027401</v>
      </c>
      <c r="J131" s="41">
        <f>ROUNDUP(IF(All_Staff[[#This Row],[Salary]]&gt;2,3%,2%)*All_Staff[[#This Row],[Salary]],0)</f>
        <v>2885</v>
      </c>
      <c r="K131" s="46">
        <f>_xlfn.XLOOKUP(All_Staff[[#This Row],[Rating]],'Salary Vs Rating'!$E$2:$E$6,'Salary Vs Rating'!$F$2:$F$6)</f>
        <v>3</v>
      </c>
      <c r="L131" s="41"/>
      <c r="M131" s="41"/>
      <c r="N131" s="9"/>
    </row>
    <row r="132" spans="1:14" x14ac:dyDescent="0.3">
      <c r="A132" s="6" t="s">
        <v>50</v>
      </c>
      <c r="B132" s="6" t="s">
        <v>15</v>
      </c>
      <c r="C132">
        <v>31</v>
      </c>
      <c r="D132" t="s">
        <v>16</v>
      </c>
      <c r="E132" s="7">
        <v>44724</v>
      </c>
      <c r="F132" s="6" t="s">
        <v>9</v>
      </c>
      <c r="G132" s="40">
        <v>103550</v>
      </c>
      <c r="H132" t="s">
        <v>207</v>
      </c>
      <c r="I132" s="9">
        <f ca="1">(TODAY()-All_Staff[[#This Row],[Date Joined]])/365</f>
        <v>3.5972602739726027</v>
      </c>
      <c r="J132" s="41">
        <f>ROUNDUP(IF(All_Staff[[#This Row],[Salary]]&gt;2,3%,2%)*All_Staff[[#This Row],[Salary]],0)</f>
        <v>3107</v>
      </c>
      <c r="K132" s="46">
        <f>_xlfn.XLOOKUP(All_Staff[[#This Row],[Rating]],'Salary Vs Rating'!$E$2:$E$6,'Salary Vs Rating'!$F$2:$F$6)</f>
        <v>3</v>
      </c>
      <c r="L132" s="41"/>
      <c r="M132" s="41"/>
      <c r="N132" s="9"/>
    </row>
    <row r="133" spans="1:14" x14ac:dyDescent="0.3">
      <c r="A133" s="6" t="s">
        <v>14</v>
      </c>
      <c r="B133" s="6" t="s">
        <v>15</v>
      </c>
      <c r="C133">
        <v>31</v>
      </c>
      <c r="D133" t="s">
        <v>16</v>
      </c>
      <c r="E133" s="7">
        <v>44511</v>
      </c>
      <c r="F133" s="6" t="s">
        <v>12</v>
      </c>
      <c r="G133" s="40">
        <v>48950</v>
      </c>
      <c r="H133" t="s">
        <v>207</v>
      </c>
      <c r="I133" s="9">
        <f ca="1">(TODAY()-All_Staff[[#This Row],[Date Joined]])/365</f>
        <v>4.1808219178082195</v>
      </c>
      <c r="J133" s="41">
        <f>ROUNDUP(IF(All_Staff[[#This Row],[Salary]]&gt;2,3%,2%)*All_Staff[[#This Row],[Salary]],0)</f>
        <v>1469</v>
      </c>
      <c r="K133" s="46">
        <f>_xlfn.XLOOKUP(All_Staff[[#This Row],[Rating]],'Salary Vs Rating'!$E$2:$E$6,'Salary Vs Rating'!$F$2:$F$6)</f>
        <v>3</v>
      </c>
      <c r="L133" s="41"/>
      <c r="M133" s="41"/>
      <c r="N133" s="9"/>
    </row>
    <row r="134" spans="1:14" x14ac:dyDescent="0.3">
      <c r="A134" s="6" t="s">
        <v>63</v>
      </c>
      <c r="B134" s="6" t="s">
        <v>15</v>
      </c>
      <c r="C134">
        <v>24</v>
      </c>
      <c r="D134" t="s">
        <v>24</v>
      </c>
      <c r="E134" s="7">
        <v>44436</v>
      </c>
      <c r="F134" s="6" t="s">
        <v>21</v>
      </c>
      <c r="G134" s="40">
        <v>52610</v>
      </c>
      <c r="H134" t="s">
        <v>207</v>
      </c>
      <c r="I134" s="9">
        <f ca="1">(TODAY()-All_Staff[[#This Row],[Date Joined]])/365</f>
        <v>4.3863013698630136</v>
      </c>
      <c r="J134" s="41">
        <f>ROUNDUP(IF(All_Staff[[#This Row],[Salary]]&gt;2,3%,2%)*All_Staff[[#This Row],[Salary]],0)</f>
        <v>1579</v>
      </c>
      <c r="K134" s="46">
        <f>_xlfn.XLOOKUP(All_Staff[[#This Row],[Rating]],'Salary Vs Rating'!$E$2:$E$6,'Salary Vs Rating'!$F$2:$F$6)</f>
        <v>2</v>
      </c>
      <c r="L134" s="41"/>
      <c r="M134" s="41"/>
      <c r="N134" s="9"/>
    </row>
    <row r="135" spans="1:14" x14ac:dyDescent="0.3">
      <c r="A135" s="6" t="s">
        <v>72</v>
      </c>
      <c r="B135" s="6" t="s">
        <v>8</v>
      </c>
      <c r="C135">
        <v>36</v>
      </c>
      <c r="D135" t="s">
        <v>16</v>
      </c>
      <c r="E135" s="7">
        <v>44529</v>
      </c>
      <c r="F135" s="6" t="s">
        <v>9</v>
      </c>
      <c r="G135" s="40">
        <v>78390</v>
      </c>
      <c r="H135" t="s">
        <v>207</v>
      </c>
      <c r="I135" s="9">
        <f ca="1">(TODAY()-All_Staff[[#This Row],[Date Joined]])/365</f>
        <v>4.1315068493150688</v>
      </c>
      <c r="J135" s="41">
        <f>ROUNDUP(IF(All_Staff[[#This Row],[Salary]]&gt;2,3%,2%)*All_Staff[[#This Row],[Salary]],0)</f>
        <v>2352</v>
      </c>
      <c r="K135" s="46">
        <f>_xlfn.XLOOKUP(All_Staff[[#This Row],[Rating]],'Salary Vs Rating'!$E$2:$E$6,'Salary Vs Rating'!$F$2:$F$6)</f>
        <v>3</v>
      </c>
      <c r="L135" s="41"/>
      <c r="M135" s="41"/>
      <c r="N135" s="9"/>
    </row>
    <row r="136" spans="1:14" x14ac:dyDescent="0.3">
      <c r="A136" s="6" t="s">
        <v>88</v>
      </c>
      <c r="B136" s="6" t="s">
        <v>8</v>
      </c>
      <c r="C136">
        <v>33</v>
      </c>
      <c r="D136" t="s">
        <v>16</v>
      </c>
      <c r="E136" s="7">
        <v>44809</v>
      </c>
      <c r="F136" s="6" t="s">
        <v>21</v>
      </c>
      <c r="G136" s="40">
        <v>86570</v>
      </c>
      <c r="H136" t="s">
        <v>207</v>
      </c>
      <c r="I136" s="9">
        <f ca="1">(TODAY()-All_Staff[[#This Row],[Date Joined]])/365</f>
        <v>3.3643835616438356</v>
      </c>
      <c r="J136" s="41">
        <f>ROUNDUP(IF(All_Staff[[#This Row],[Salary]]&gt;2,3%,2%)*All_Staff[[#This Row],[Salary]],0)</f>
        <v>2598</v>
      </c>
      <c r="K136" s="46">
        <f>_xlfn.XLOOKUP(All_Staff[[#This Row],[Rating]],'Salary Vs Rating'!$E$2:$E$6,'Salary Vs Rating'!$F$2:$F$6)</f>
        <v>3</v>
      </c>
      <c r="L136" s="41"/>
      <c r="M136" s="41"/>
      <c r="N136" s="9"/>
    </row>
    <row r="137" spans="1:14" x14ac:dyDescent="0.3">
      <c r="A137" s="6" t="s">
        <v>92</v>
      </c>
      <c r="B137" s="6" t="s">
        <v>8</v>
      </c>
      <c r="C137">
        <v>27</v>
      </c>
      <c r="D137" t="s">
        <v>16</v>
      </c>
      <c r="E137" s="7">
        <v>44686</v>
      </c>
      <c r="F137" s="6" t="s">
        <v>12</v>
      </c>
      <c r="G137" s="40">
        <v>83750</v>
      </c>
      <c r="H137" t="s">
        <v>207</v>
      </c>
      <c r="I137" s="9">
        <f ca="1">(TODAY()-All_Staff[[#This Row],[Date Joined]])/365</f>
        <v>3.7013698630136984</v>
      </c>
      <c r="J137" s="41">
        <f>ROUNDUP(IF(All_Staff[[#This Row],[Salary]]&gt;2,3%,2%)*All_Staff[[#This Row],[Salary]],0)</f>
        <v>2513</v>
      </c>
      <c r="K137" s="46">
        <f>_xlfn.XLOOKUP(All_Staff[[#This Row],[Rating]],'Salary Vs Rating'!$E$2:$E$6,'Salary Vs Rating'!$F$2:$F$6)</f>
        <v>3</v>
      </c>
      <c r="L137" s="41"/>
      <c r="M137" s="41"/>
      <c r="N137" s="9"/>
    </row>
    <row r="138" spans="1:14" x14ac:dyDescent="0.3">
      <c r="A138" s="6" t="s">
        <v>102</v>
      </c>
      <c r="B138" s="6" t="s">
        <v>8</v>
      </c>
      <c r="C138">
        <v>34</v>
      </c>
      <c r="D138" t="s">
        <v>16</v>
      </c>
      <c r="E138" s="7">
        <v>44445</v>
      </c>
      <c r="F138" s="6" t="s">
        <v>21</v>
      </c>
      <c r="G138" s="40">
        <v>92450</v>
      </c>
      <c r="H138" t="s">
        <v>207</v>
      </c>
      <c r="I138" s="9">
        <f ca="1">(TODAY()-All_Staff[[#This Row],[Date Joined]])/365</f>
        <v>4.3616438356164382</v>
      </c>
      <c r="J138" s="41">
        <f>ROUNDUP(IF(All_Staff[[#This Row],[Salary]]&gt;2,3%,2%)*All_Staff[[#This Row],[Salary]],0)</f>
        <v>2774</v>
      </c>
      <c r="K138" s="46">
        <f>_xlfn.XLOOKUP(All_Staff[[#This Row],[Rating]],'Salary Vs Rating'!$E$2:$E$6,'Salary Vs Rating'!$F$2:$F$6)</f>
        <v>3</v>
      </c>
      <c r="L138" s="41"/>
      <c r="M138" s="41"/>
      <c r="N138" s="9"/>
    </row>
    <row r="139" spans="1:14" x14ac:dyDescent="0.3">
      <c r="A139" s="6" t="s">
        <v>104</v>
      </c>
      <c r="B139" s="6" t="s">
        <v>15</v>
      </c>
      <c r="C139">
        <v>20</v>
      </c>
      <c r="D139" t="s">
        <v>16</v>
      </c>
      <c r="E139" s="7">
        <v>44744</v>
      </c>
      <c r="F139" s="6" t="s">
        <v>9</v>
      </c>
      <c r="G139" s="40">
        <v>79570</v>
      </c>
      <c r="H139" t="s">
        <v>207</v>
      </c>
      <c r="I139" s="9">
        <f ca="1">(TODAY()-All_Staff[[#This Row],[Date Joined]])/365</f>
        <v>3.5424657534246577</v>
      </c>
      <c r="J139" s="41">
        <f>ROUNDUP(IF(All_Staff[[#This Row],[Salary]]&gt;2,3%,2%)*All_Staff[[#This Row],[Salary]],0)</f>
        <v>2388</v>
      </c>
      <c r="K139" s="46">
        <f>_xlfn.XLOOKUP(All_Staff[[#This Row],[Rating]],'Salary Vs Rating'!$E$2:$E$6,'Salary Vs Rating'!$F$2:$F$6)</f>
        <v>3</v>
      </c>
      <c r="L139" s="41"/>
      <c r="M139" s="41"/>
      <c r="N139" s="9"/>
    </row>
    <row r="140" spans="1:14" x14ac:dyDescent="0.3">
      <c r="A140" s="6" t="s">
        <v>91</v>
      </c>
      <c r="B140" s="6" t="s">
        <v>8</v>
      </c>
      <c r="C140">
        <v>20</v>
      </c>
      <c r="D140" t="s">
        <v>24</v>
      </c>
      <c r="E140" s="7">
        <v>44537</v>
      </c>
      <c r="F140" s="6" t="s">
        <v>19</v>
      </c>
      <c r="G140" s="40">
        <v>68900</v>
      </c>
      <c r="H140" t="s">
        <v>207</v>
      </c>
      <c r="I140" s="9">
        <f ca="1">(TODAY()-All_Staff[[#This Row],[Date Joined]])/365</f>
        <v>4.1095890410958908</v>
      </c>
      <c r="J140" s="41">
        <f>ROUNDUP(IF(All_Staff[[#This Row],[Salary]]&gt;2,3%,2%)*All_Staff[[#This Row],[Salary]],0)</f>
        <v>2067</v>
      </c>
      <c r="K140" s="46">
        <f>_xlfn.XLOOKUP(All_Staff[[#This Row],[Rating]],'Salary Vs Rating'!$E$2:$E$6,'Salary Vs Rating'!$F$2:$F$6)</f>
        <v>2</v>
      </c>
      <c r="L140" s="41"/>
      <c r="M140" s="41"/>
      <c r="N140" s="9"/>
    </row>
    <row r="141" spans="1:14" x14ac:dyDescent="0.3">
      <c r="A141" s="6" t="s">
        <v>39</v>
      </c>
      <c r="B141" s="6" t="s">
        <v>8</v>
      </c>
      <c r="C141">
        <v>25</v>
      </c>
      <c r="D141" t="s">
        <v>13</v>
      </c>
      <c r="E141" s="7">
        <v>44694</v>
      </c>
      <c r="F141" s="6" t="s">
        <v>12</v>
      </c>
      <c r="G141" s="40">
        <v>80700</v>
      </c>
      <c r="H141" t="s">
        <v>207</v>
      </c>
      <c r="I141" s="9">
        <f ca="1">(TODAY()-All_Staff[[#This Row],[Date Joined]])/365</f>
        <v>3.6794520547945204</v>
      </c>
      <c r="J141" s="41">
        <f>ROUNDUP(IF(All_Staff[[#This Row],[Salary]]&gt;2,3%,2%)*All_Staff[[#This Row],[Salary]],0)</f>
        <v>2421</v>
      </c>
      <c r="K141" s="46">
        <f>_xlfn.XLOOKUP(All_Staff[[#This Row],[Rating]],'Salary Vs Rating'!$E$2:$E$6,'Salary Vs Rating'!$F$2:$F$6)</f>
        <v>4</v>
      </c>
      <c r="L141" s="41"/>
      <c r="M141" s="41"/>
      <c r="N141" s="9"/>
    </row>
    <row r="142" spans="1:14" x14ac:dyDescent="0.3">
      <c r="A142" s="6" t="s">
        <v>100</v>
      </c>
      <c r="B142" s="6" t="s">
        <v>15</v>
      </c>
      <c r="C142">
        <v>19</v>
      </c>
      <c r="D142" t="s">
        <v>16</v>
      </c>
      <c r="E142" s="7">
        <v>44277</v>
      </c>
      <c r="F142" s="6" t="s">
        <v>9</v>
      </c>
      <c r="G142" s="40">
        <v>58960</v>
      </c>
      <c r="H142" t="s">
        <v>207</v>
      </c>
      <c r="I142" s="9">
        <f ca="1">(TODAY()-All_Staff[[#This Row],[Date Joined]])/365</f>
        <v>4.8219178082191778</v>
      </c>
      <c r="J142" s="41">
        <f>ROUNDUP(IF(All_Staff[[#This Row],[Salary]]&gt;2,3%,2%)*All_Staff[[#This Row],[Salary]],0)</f>
        <v>1769</v>
      </c>
      <c r="K142" s="46">
        <f>_xlfn.XLOOKUP(All_Staff[[#This Row],[Rating]],'Salary Vs Rating'!$E$2:$E$6,'Salary Vs Rating'!$F$2:$F$6)</f>
        <v>3</v>
      </c>
      <c r="L142" s="41"/>
      <c r="M142" s="41"/>
      <c r="N142" s="9"/>
    </row>
    <row r="143" spans="1:14" x14ac:dyDescent="0.3">
      <c r="A143" s="6" t="s">
        <v>106</v>
      </c>
      <c r="B143" s="6" t="s">
        <v>15</v>
      </c>
      <c r="C143">
        <v>36</v>
      </c>
      <c r="D143" t="s">
        <v>16</v>
      </c>
      <c r="E143" s="7">
        <v>44019</v>
      </c>
      <c r="F143" s="6" t="s">
        <v>12</v>
      </c>
      <c r="G143" s="40">
        <v>118840</v>
      </c>
      <c r="H143" t="s">
        <v>207</v>
      </c>
      <c r="I143" s="9">
        <f ca="1">(TODAY()-All_Staff[[#This Row],[Date Joined]])/365</f>
        <v>5.5287671232876709</v>
      </c>
      <c r="J143" s="41">
        <f>ROUNDUP(IF(All_Staff[[#This Row],[Salary]]&gt;2,3%,2%)*All_Staff[[#This Row],[Salary]],0)</f>
        <v>3566</v>
      </c>
      <c r="K143" s="46">
        <f>_xlfn.XLOOKUP(All_Staff[[#This Row],[Rating]],'Salary Vs Rating'!$E$2:$E$6,'Salary Vs Rating'!$F$2:$F$6)</f>
        <v>3</v>
      </c>
      <c r="L143" s="41"/>
      <c r="M143" s="41"/>
      <c r="N143" s="9"/>
    </row>
    <row r="144" spans="1:14" x14ac:dyDescent="0.3">
      <c r="A144" s="6" t="s">
        <v>29</v>
      </c>
      <c r="B144" s="6" t="s">
        <v>15</v>
      </c>
      <c r="C144">
        <v>28</v>
      </c>
      <c r="D144" t="s">
        <v>13</v>
      </c>
      <c r="E144" s="7">
        <v>44041</v>
      </c>
      <c r="F144" s="6" t="s">
        <v>21</v>
      </c>
      <c r="G144" s="40">
        <v>48170</v>
      </c>
      <c r="H144" t="s">
        <v>207</v>
      </c>
      <c r="I144" s="9">
        <f ca="1">(TODAY()-All_Staff[[#This Row],[Date Joined]])/365</f>
        <v>5.4684931506849317</v>
      </c>
      <c r="J144" s="41">
        <f>ROUNDUP(IF(All_Staff[[#This Row],[Salary]]&gt;2,3%,2%)*All_Staff[[#This Row],[Salary]],0)</f>
        <v>1446</v>
      </c>
      <c r="K144" s="46">
        <f>_xlfn.XLOOKUP(All_Staff[[#This Row],[Rating]],'Salary Vs Rating'!$E$2:$E$6,'Salary Vs Rating'!$F$2:$F$6)</f>
        <v>4</v>
      </c>
      <c r="L144" s="41"/>
      <c r="M144" s="41"/>
      <c r="N144" s="9"/>
    </row>
    <row r="145" spans="1:14" x14ac:dyDescent="0.3">
      <c r="A145" s="6" t="s">
        <v>108</v>
      </c>
      <c r="B145" s="6" t="s">
        <v>8</v>
      </c>
      <c r="C145">
        <v>32</v>
      </c>
      <c r="D145" t="s">
        <v>16</v>
      </c>
      <c r="E145" s="7">
        <v>44400</v>
      </c>
      <c r="F145" s="6" t="s">
        <v>56</v>
      </c>
      <c r="G145" s="40">
        <v>45510</v>
      </c>
      <c r="H145" t="s">
        <v>207</v>
      </c>
      <c r="I145" s="9">
        <f ca="1">(TODAY()-All_Staff[[#This Row],[Date Joined]])/365</f>
        <v>4.484931506849315</v>
      </c>
      <c r="J145" s="41">
        <f>ROUNDUP(IF(All_Staff[[#This Row],[Salary]]&gt;2,3%,2%)*All_Staff[[#This Row],[Salary]],0)</f>
        <v>1366</v>
      </c>
      <c r="K145" s="46">
        <f>_xlfn.XLOOKUP(All_Staff[[#This Row],[Rating]],'Salary Vs Rating'!$E$2:$E$6,'Salary Vs Rating'!$F$2:$F$6)</f>
        <v>3</v>
      </c>
      <c r="L145" s="41"/>
      <c r="M145" s="41"/>
      <c r="N145" s="9"/>
    </row>
    <row r="146" spans="1:14" x14ac:dyDescent="0.3">
      <c r="A146" s="6" t="s">
        <v>83</v>
      </c>
      <c r="B146" s="6" t="s">
        <v>8</v>
      </c>
      <c r="C146">
        <v>36</v>
      </c>
      <c r="D146" t="s">
        <v>16</v>
      </c>
      <c r="E146" s="7">
        <v>44085</v>
      </c>
      <c r="F146" s="6" t="s">
        <v>9</v>
      </c>
      <c r="G146" s="40">
        <v>114890</v>
      </c>
      <c r="H146" t="s">
        <v>207</v>
      </c>
      <c r="I146" s="9">
        <f ca="1">(TODAY()-All_Staff[[#This Row],[Date Joined]])/365</f>
        <v>5.3479452054794523</v>
      </c>
      <c r="J146" s="41">
        <f>ROUNDUP(IF(All_Staff[[#This Row],[Salary]]&gt;2,3%,2%)*All_Staff[[#This Row],[Salary]],0)</f>
        <v>3447</v>
      </c>
      <c r="K146" s="46">
        <f>_xlfn.XLOOKUP(All_Staff[[#This Row],[Rating]],'Salary Vs Rating'!$E$2:$E$6,'Salary Vs Rating'!$F$2:$F$6)</f>
        <v>3</v>
      </c>
      <c r="L146" s="41"/>
      <c r="M146" s="41"/>
      <c r="N146" s="9"/>
    </row>
    <row r="147" spans="1:14" x14ac:dyDescent="0.3">
      <c r="A147" s="6" t="s">
        <v>67</v>
      </c>
      <c r="B147" s="6" t="s">
        <v>15</v>
      </c>
      <c r="C147">
        <v>30</v>
      </c>
      <c r="D147" t="s">
        <v>16</v>
      </c>
      <c r="E147" s="7">
        <v>44850</v>
      </c>
      <c r="F147" s="6" t="s">
        <v>12</v>
      </c>
      <c r="G147" s="40">
        <v>69710</v>
      </c>
      <c r="H147" t="s">
        <v>207</v>
      </c>
      <c r="I147" s="9">
        <f ca="1">(TODAY()-All_Staff[[#This Row],[Date Joined]])/365</f>
        <v>3.2520547945205478</v>
      </c>
      <c r="J147" s="41">
        <f>ROUNDUP(IF(All_Staff[[#This Row],[Salary]]&gt;2,3%,2%)*All_Staff[[#This Row],[Salary]],0)</f>
        <v>2092</v>
      </c>
      <c r="K147" s="46">
        <f>_xlfn.XLOOKUP(All_Staff[[#This Row],[Rating]],'Salary Vs Rating'!$E$2:$E$6,'Salary Vs Rating'!$F$2:$F$6)</f>
        <v>3</v>
      </c>
      <c r="L147" s="41"/>
      <c r="M147" s="41"/>
      <c r="N147" s="9"/>
    </row>
    <row r="148" spans="1:14" x14ac:dyDescent="0.3">
      <c r="A148" s="6" t="s">
        <v>94</v>
      </c>
      <c r="B148" s="6" t="s">
        <v>15</v>
      </c>
      <c r="C148">
        <v>36</v>
      </c>
      <c r="D148" t="s">
        <v>16</v>
      </c>
      <c r="E148" s="7">
        <v>44333</v>
      </c>
      <c r="F148" s="6" t="s">
        <v>21</v>
      </c>
      <c r="G148" s="40">
        <v>71380</v>
      </c>
      <c r="H148" t="s">
        <v>207</v>
      </c>
      <c r="I148" s="9">
        <f ca="1">(TODAY()-All_Staff[[#This Row],[Date Joined]])/365</f>
        <v>4.6684931506849319</v>
      </c>
      <c r="J148" s="41">
        <f>ROUNDUP(IF(All_Staff[[#This Row],[Salary]]&gt;2,3%,2%)*All_Staff[[#This Row],[Salary]],0)</f>
        <v>2142</v>
      </c>
      <c r="K148" s="46">
        <f>_xlfn.XLOOKUP(All_Staff[[#This Row],[Rating]],'Salary Vs Rating'!$E$2:$E$6,'Salary Vs Rating'!$F$2:$F$6)</f>
        <v>3</v>
      </c>
      <c r="L148" s="41"/>
      <c r="M148" s="41"/>
      <c r="N148" s="9"/>
    </row>
    <row r="149" spans="1:14" x14ac:dyDescent="0.3">
      <c r="A149" s="6" t="s">
        <v>33</v>
      </c>
      <c r="B149" s="6" t="s">
        <v>8</v>
      </c>
      <c r="C149">
        <v>38</v>
      </c>
      <c r="D149" t="s">
        <v>10</v>
      </c>
      <c r="E149" s="7">
        <v>44377</v>
      </c>
      <c r="F149" s="6" t="s">
        <v>19</v>
      </c>
      <c r="G149" s="40">
        <v>109160</v>
      </c>
      <c r="H149" t="s">
        <v>207</v>
      </c>
      <c r="I149" s="9">
        <f ca="1">(TODAY()-All_Staff[[#This Row],[Date Joined]])/365</f>
        <v>4.5479452054794525</v>
      </c>
      <c r="J149" s="41">
        <f>ROUNDUP(IF(All_Staff[[#This Row],[Salary]]&gt;2,3%,2%)*All_Staff[[#This Row],[Salary]],0)</f>
        <v>3275</v>
      </c>
      <c r="K149" s="46">
        <f>_xlfn.XLOOKUP(All_Staff[[#This Row],[Rating]],'Salary Vs Rating'!$E$2:$E$6,'Salary Vs Rating'!$F$2:$F$6)</f>
        <v>5</v>
      </c>
      <c r="L149" s="41"/>
      <c r="M149" s="41"/>
      <c r="N149" s="9"/>
    </row>
    <row r="150" spans="1:14" x14ac:dyDescent="0.3">
      <c r="A150" s="6" t="s">
        <v>98</v>
      </c>
      <c r="B150" s="6" t="s">
        <v>15</v>
      </c>
      <c r="C150">
        <v>27</v>
      </c>
      <c r="D150" t="s">
        <v>42</v>
      </c>
      <c r="E150" s="7">
        <v>44609</v>
      </c>
      <c r="F150" s="6" t="s">
        <v>9</v>
      </c>
      <c r="G150" s="40">
        <v>113280</v>
      </c>
      <c r="H150" t="s">
        <v>207</v>
      </c>
      <c r="I150" s="9">
        <f ca="1">(TODAY()-All_Staff[[#This Row],[Date Joined]])/365</f>
        <v>3.9123287671232876</v>
      </c>
      <c r="J150" s="41">
        <f>ROUNDUP(IF(All_Staff[[#This Row],[Salary]]&gt;2,3%,2%)*All_Staff[[#This Row],[Salary]],0)</f>
        <v>3399</v>
      </c>
      <c r="K150" s="46">
        <f>_xlfn.XLOOKUP(All_Staff[[#This Row],[Rating]],'Salary Vs Rating'!$E$2:$E$6,'Salary Vs Rating'!$F$2:$F$6)</f>
        <v>1</v>
      </c>
      <c r="L150" s="41"/>
      <c r="M150" s="41"/>
      <c r="N150" s="9"/>
    </row>
    <row r="151" spans="1:14" x14ac:dyDescent="0.3">
      <c r="A151" s="6" t="s">
        <v>25</v>
      </c>
      <c r="B151" s="6" t="s">
        <v>15</v>
      </c>
      <c r="C151">
        <v>30</v>
      </c>
      <c r="D151" t="s">
        <v>16</v>
      </c>
      <c r="E151" s="7">
        <v>44273</v>
      </c>
      <c r="F151" s="6" t="s">
        <v>12</v>
      </c>
      <c r="G151" s="40">
        <v>69120</v>
      </c>
      <c r="H151" t="s">
        <v>207</v>
      </c>
      <c r="I151" s="9">
        <f ca="1">(TODAY()-All_Staff[[#This Row],[Date Joined]])/365</f>
        <v>4.8328767123287673</v>
      </c>
      <c r="J151" s="41">
        <f>ROUNDUP(IF(All_Staff[[#This Row],[Salary]]&gt;2,3%,2%)*All_Staff[[#This Row],[Salary]],0)</f>
        <v>2074</v>
      </c>
      <c r="K151" s="46">
        <f>_xlfn.XLOOKUP(All_Staff[[#This Row],[Rating]],'Salary Vs Rating'!$E$2:$E$6,'Salary Vs Rating'!$F$2:$F$6)</f>
        <v>3</v>
      </c>
      <c r="L151" s="41"/>
      <c r="M151" s="41"/>
      <c r="N151" s="9"/>
    </row>
    <row r="152" spans="1:14" x14ac:dyDescent="0.3">
      <c r="A152" s="6" t="s">
        <v>55</v>
      </c>
      <c r="B152" s="6" t="s">
        <v>8</v>
      </c>
      <c r="C152">
        <v>37</v>
      </c>
      <c r="D152" t="s">
        <v>16</v>
      </c>
      <c r="E152" s="7">
        <v>44451</v>
      </c>
      <c r="F152" s="6" t="s">
        <v>56</v>
      </c>
      <c r="G152" s="40">
        <v>118100</v>
      </c>
      <c r="H152" t="s">
        <v>207</v>
      </c>
      <c r="I152" s="9">
        <f ca="1">(TODAY()-All_Staff[[#This Row],[Date Joined]])/365</f>
        <v>4.3452054794520549</v>
      </c>
      <c r="J152" s="41">
        <f>ROUNDUP(IF(All_Staff[[#This Row],[Salary]]&gt;2,3%,2%)*All_Staff[[#This Row],[Salary]],0)</f>
        <v>3543</v>
      </c>
      <c r="K152" s="46">
        <f>_xlfn.XLOOKUP(All_Staff[[#This Row],[Rating]],'Salary Vs Rating'!$E$2:$E$6,'Salary Vs Rating'!$F$2:$F$6)</f>
        <v>3</v>
      </c>
      <c r="L152" s="41"/>
      <c r="M152" s="41"/>
      <c r="N152" s="9"/>
    </row>
    <row r="153" spans="1:14" x14ac:dyDescent="0.3">
      <c r="A153" s="6" t="s">
        <v>62</v>
      </c>
      <c r="B153" s="6" t="s">
        <v>8</v>
      </c>
      <c r="C153">
        <v>22</v>
      </c>
      <c r="D153" t="s">
        <v>13</v>
      </c>
      <c r="E153" s="7">
        <v>44450</v>
      </c>
      <c r="F153" s="6" t="s">
        <v>9</v>
      </c>
      <c r="G153" s="40">
        <v>76900</v>
      </c>
      <c r="H153" t="s">
        <v>207</v>
      </c>
      <c r="I153" s="9">
        <f ca="1">(TODAY()-All_Staff[[#This Row],[Date Joined]])/365</f>
        <v>4.3479452054794523</v>
      </c>
      <c r="J153" s="41">
        <f>ROUNDUP(IF(All_Staff[[#This Row],[Salary]]&gt;2,3%,2%)*All_Staff[[#This Row],[Salary]],0)</f>
        <v>2307</v>
      </c>
      <c r="K153" s="46">
        <f>_xlfn.XLOOKUP(All_Staff[[#This Row],[Rating]],'Salary Vs Rating'!$E$2:$E$6,'Salary Vs Rating'!$F$2:$F$6)</f>
        <v>4</v>
      </c>
      <c r="L153" s="41"/>
      <c r="M153" s="41"/>
      <c r="N153" s="9"/>
    </row>
    <row r="154" spans="1:14" x14ac:dyDescent="0.3">
      <c r="A154" s="6" t="s">
        <v>17</v>
      </c>
      <c r="B154" s="6" t="s">
        <v>8</v>
      </c>
      <c r="C154">
        <v>43</v>
      </c>
      <c r="D154" t="s">
        <v>16</v>
      </c>
      <c r="E154" s="7">
        <v>45045</v>
      </c>
      <c r="F154" s="6" t="s">
        <v>12</v>
      </c>
      <c r="G154" s="40">
        <v>114870</v>
      </c>
      <c r="H154" t="s">
        <v>207</v>
      </c>
      <c r="I154" s="9">
        <f ca="1">(TODAY()-All_Staff[[#This Row],[Date Joined]])/365</f>
        <v>2.7178082191780821</v>
      </c>
      <c r="J154" s="41">
        <f>ROUNDUP(IF(All_Staff[[#This Row],[Salary]]&gt;2,3%,2%)*All_Staff[[#This Row],[Salary]],0)</f>
        <v>3447</v>
      </c>
      <c r="K154" s="46">
        <f>_xlfn.XLOOKUP(All_Staff[[#This Row],[Rating]],'Salary Vs Rating'!$E$2:$E$6,'Salary Vs Rating'!$F$2:$F$6)</f>
        <v>3</v>
      </c>
      <c r="L154" s="41"/>
      <c r="M154" s="41"/>
      <c r="N154" s="9"/>
    </row>
    <row r="155" spans="1:14" x14ac:dyDescent="0.3">
      <c r="A155" s="6" t="s">
        <v>52</v>
      </c>
      <c r="B155" s="6" t="s">
        <v>206</v>
      </c>
      <c r="C155">
        <v>32</v>
      </c>
      <c r="D155" t="s">
        <v>16</v>
      </c>
      <c r="E155" s="7">
        <v>44774</v>
      </c>
      <c r="F155" s="6" t="s">
        <v>12</v>
      </c>
      <c r="G155" s="40">
        <v>91310</v>
      </c>
      <c r="H155" t="s">
        <v>207</v>
      </c>
      <c r="I155" s="9">
        <f ca="1">(TODAY()-All_Staff[[#This Row],[Date Joined]])/365</f>
        <v>3.4602739726027396</v>
      </c>
      <c r="J155" s="41">
        <f>ROUNDUP(IF(All_Staff[[#This Row],[Salary]]&gt;2,3%,2%)*All_Staff[[#This Row],[Salary]],0)</f>
        <v>2740</v>
      </c>
      <c r="K155" s="46">
        <f>_xlfn.XLOOKUP(All_Staff[[#This Row],[Rating]],'Salary Vs Rating'!$E$2:$E$6,'Salary Vs Rating'!$F$2:$F$6)</f>
        <v>3</v>
      </c>
      <c r="L155" s="41"/>
      <c r="M155" s="41"/>
      <c r="N155" s="9"/>
    </row>
    <row r="156" spans="1:14" x14ac:dyDescent="0.3">
      <c r="A156" s="6" t="s">
        <v>43</v>
      </c>
      <c r="B156" s="6" t="s">
        <v>8</v>
      </c>
      <c r="C156">
        <v>28</v>
      </c>
      <c r="D156" t="s">
        <v>16</v>
      </c>
      <c r="E156" s="7">
        <v>44486</v>
      </c>
      <c r="F156" s="6" t="s">
        <v>9</v>
      </c>
      <c r="G156" s="40">
        <v>104770</v>
      </c>
      <c r="H156" t="s">
        <v>207</v>
      </c>
      <c r="I156" s="9">
        <f ca="1">(TODAY()-All_Staff[[#This Row],[Date Joined]])/365</f>
        <v>4.2493150684931509</v>
      </c>
      <c r="J156" s="41">
        <f>ROUNDUP(IF(All_Staff[[#This Row],[Salary]]&gt;2,3%,2%)*All_Staff[[#This Row],[Salary]],0)</f>
        <v>3144</v>
      </c>
      <c r="K156" s="46">
        <f>_xlfn.XLOOKUP(All_Staff[[#This Row],[Rating]],'Salary Vs Rating'!$E$2:$E$6,'Salary Vs Rating'!$F$2:$F$6)</f>
        <v>3</v>
      </c>
      <c r="L156" s="41"/>
      <c r="M156" s="41"/>
      <c r="N156" s="9"/>
    </row>
    <row r="157" spans="1:14" x14ac:dyDescent="0.3">
      <c r="A157" s="6" t="s">
        <v>89</v>
      </c>
      <c r="B157" s="6" t="s">
        <v>15</v>
      </c>
      <c r="C157">
        <v>27</v>
      </c>
      <c r="D157" t="s">
        <v>16</v>
      </c>
      <c r="E157" s="7">
        <v>44134</v>
      </c>
      <c r="F157" s="6" t="s">
        <v>19</v>
      </c>
      <c r="G157" s="40">
        <v>54970</v>
      </c>
      <c r="H157" t="s">
        <v>207</v>
      </c>
      <c r="I157" s="9">
        <f ca="1">(TODAY()-All_Staff[[#This Row],[Date Joined]])/365</f>
        <v>5.2136986301369861</v>
      </c>
      <c r="J157" s="41">
        <f>ROUNDUP(IF(All_Staff[[#This Row],[Salary]]&gt;2,3%,2%)*All_Staff[[#This Row],[Salary]],0)</f>
        <v>1650</v>
      </c>
      <c r="K157" s="46">
        <f>_xlfn.XLOOKUP(All_Staff[[#This Row],[Rating]],'Salary Vs Rating'!$E$2:$E$6,'Salary Vs Rating'!$F$2:$F$6)</f>
        <v>3</v>
      </c>
      <c r="L157" s="41"/>
      <c r="M157" s="41"/>
      <c r="N157" s="9"/>
    </row>
    <row r="158" spans="1:14" x14ac:dyDescent="0.3">
      <c r="A158" s="6" t="s">
        <v>11</v>
      </c>
      <c r="B158" s="6" t="s">
        <v>206</v>
      </c>
      <c r="C158">
        <v>26</v>
      </c>
      <c r="D158" t="s">
        <v>13</v>
      </c>
      <c r="E158" s="7">
        <v>44271</v>
      </c>
      <c r="F158" s="6" t="s">
        <v>12</v>
      </c>
      <c r="G158" s="40">
        <v>90700</v>
      </c>
      <c r="H158" t="s">
        <v>207</v>
      </c>
      <c r="I158" s="9">
        <f ca="1">(TODAY()-All_Staff[[#This Row],[Date Joined]])/365</f>
        <v>4.838356164383562</v>
      </c>
      <c r="J158" s="41">
        <f>ROUNDUP(IF(All_Staff[[#This Row],[Salary]]&gt;2,3%,2%)*All_Staff[[#This Row],[Salary]],0)</f>
        <v>2721</v>
      </c>
      <c r="K158" s="46">
        <f>_xlfn.XLOOKUP(All_Staff[[#This Row],[Rating]],'Salary Vs Rating'!$E$2:$E$6,'Salary Vs Rating'!$F$2:$F$6)</f>
        <v>4</v>
      </c>
      <c r="L158" s="41"/>
      <c r="M158" s="41"/>
      <c r="N158" s="9"/>
    </row>
    <row r="159" spans="1:14" x14ac:dyDescent="0.3">
      <c r="A159" s="6" t="s">
        <v>109</v>
      </c>
      <c r="B159" s="6" t="s">
        <v>8</v>
      </c>
      <c r="C159">
        <v>38</v>
      </c>
      <c r="D159" t="s">
        <v>13</v>
      </c>
      <c r="E159" s="7">
        <v>44329</v>
      </c>
      <c r="F159" s="6" t="s">
        <v>19</v>
      </c>
      <c r="G159" s="40">
        <v>56870</v>
      </c>
      <c r="H159" t="s">
        <v>207</v>
      </c>
      <c r="I159" s="9">
        <f ca="1">(TODAY()-All_Staff[[#This Row],[Date Joined]])/365</f>
        <v>4.6794520547945204</v>
      </c>
      <c r="J159" s="41">
        <f>ROUNDUP(IF(All_Staff[[#This Row],[Salary]]&gt;2,3%,2%)*All_Staff[[#This Row],[Salary]],0)</f>
        <v>1707</v>
      </c>
      <c r="K159" s="46">
        <f>_xlfn.XLOOKUP(All_Staff[[#This Row],[Rating]],'Salary Vs Rating'!$E$2:$E$6,'Salary Vs Rating'!$F$2:$F$6)</f>
        <v>4</v>
      </c>
      <c r="L159" s="41"/>
      <c r="M159" s="41"/>
      <c r="N159" s="9"/>
    </row>
    <row r="160" spans="1:14" x14ac:dyDescent="0.3">
      <c r="A160" s="6" t="s">
        <v>77</v>
      </c>
      <c r="B160" s="6" t="s">
        <v>8</v>
      </c>
      <c r="C160">
        <v>25</v>
      </c>
      <c r="D160" t="s">
        <v>16</v>
      </c>
      <c r="E160" s="7">
        <v>44205</v>
      </c>
      <c r="F160" s="6" t="s">
        <v>19</v>
      </c>
      <c r="G160" s="40">
        <v>92700</v>
      </c>
      <c r="H160" t="s">
        <v>207</v>
      </c>
      <c r="I160" s="9">
        <f ca="1">(TODAY()-All_Staff[[#This Row],[Date Joined]])/365</f>
        <v>5.0191780821917806</v>
      </c>
      <c r="J160" s="41">
        <f>ROUNDUP(IF(All_Staff[[#This Row],[Salary]]&gt;2,3%,2%)*All_Staff[[#This Row],[Salary]],0)</f>
        <v>2781</v>
      </c>
      <c r="K160" s="46">
        <f>_xlfn.XLOOKUP(All_Staff[[#This Row],[Rating]],'Salary Vs Rating'!$E$2:$E$6,'Salary Vs Rating'!$F$2:$F$6)</f>
        <v>3</v>
      </c>
      <c r="L160" s="41"/>
      <c r="M160" s="41"/>
      <c r="N160" s="9"/>
    </row>
    <row r="161" spans="1:14" x14ac:dyDescent="0.3">
      <c r="A161" s="6" t="s">
        <v>32</v>
      </c>
      <c r="B161" s="6" t="s">
        <v>8</v>
      </c>
      <c r="C161">
        <v>21</v>
      </c>
      <c r="D161" t="s">
        <v>16</v>
      </c>
      <c r="E161" s="7">
        <v>44317</v>
      </c>
      <c r="F161" s="6" t="s">
        <v>21</v>
      </c>
      <c r="G161" s="40">
        <v>65920</v>
      </c>
      <c r="H161" t="s">
        <v>207</v>
      </c>
      <c r="I161" s="9">
        <f ca="1">(TODAY()-All_Staff[[#This Row],[Date Joined]])/365</f>
        <v>4.7123287671232879</v>
      </c>
      <c r="J161" s="41">
        <f>ROUNDUP(IF(All_Staff[[#This Row],[Salary]]&gt;2,3%,2%)*All_Staff[[#This Row],[Salary]],0)</f>
        <v>1978</v>
      </c>
      <c r="K161" s="46">
        <f>_xlfn.XLOOKUP(All_Staff[[#This Row],[Rating]],'Salary Vs Rating'!$E$2:$E$6,'Salary Vs Rating'!$F$2:$F$6)</f>
        <v>3</v>
      </c>
      <c r="L161" s="41"/>
      <c r="M161" s="41"/>
      <c r="N161" s="9"/>
    </row>
    <row r="162" spans="1:14" x14ac:dyDescent="0.3">
      <c r="A162" s="6" t="s">
        <v>59</v>
      </c>
      <c r="B162" s="6" t="s">
        <v>15</v>
      </c>
      <c r="C162">
        <v>26</v>
      </c>
      <c r="D162" t="s">
        <v>16</v>
      </c>
      <c r="E162" s="7">
        <v>44225</v>
      </c>
      <c r="F162" s="6" t="s">
        <v>9</v>
      </c>
      <c r="G162" s="40">
        <v>47360</v>
      </c>
      <c r="H162" t="s">
        <v>207</v>
      </c>
      <c r="I162" s="9">
        <f ca="1">(TODAY()-All_Staff[[#This Row],[Date Joined]])/365</f>
        <v>4.9643835616438352</v>
      </c>
      <c r="J162" s="41">
        <f>ROUNDUP(IF(All_Staff[[#This Row],[Salary]]&gt;2,3%,2%)*All_Staff[[#This Row],[Salary]],0)</f>
        <v>1421</v>
      </c>
      <c r="K162" s="46">
        <f>_xlfn.XLOOKUP(All_Staff[[#This Row],[Rating]],'Salary Vs Rating'!$E$2:$E$6,'Salary Vs Rating'!$F$2:$F$6)</f>
        <v>3</v>
      </c>
      <c r="L162" s="41"/>
      <c r="M162" s="41"/>
      <c r="N162" s="9"/>
    </row>
    <row r="163" spans="1:14" x14ac:dyDescent="0.3">
      <c r="A163" s="6" t="s">
        <v>37</v>
      </c>
      <c r="B163" s="6" t="s">
        <v>15</v>
      </c>
      <c r="C163">
        <v>30</v>
      </c>
      <c r="D163" t="s">
        <v>16</v>
      </c>
      <c r="E163" s="7">
        <v>44666</v>
      </c>
      <c r="F163" s="6" t="s">
        <v>9</v>
      </c>
      <c r="G163" s="40">
        <v>60570</v>
      </c>
      <c r="H163" t="s">
        <v>207</v>
      </c>
      <c r="I163" s="9">
        <f ca="1">(TODAY()-All_Staff[[#This Row],[Date Joined]])/365</f>
        <v>3.7561643835616438</v>
      </c>
      <c r="J163" s="41">
        <f>ROUNDUP(IF(All_Staff[[#This Row],[Salary]]&gt;2,3%,2%)*All_Staff[[#This Row],[Salary]],0)</f>
        <v>1818</v>
      </c>
      <c r="K163" s="46">
        <f>_xlfn.XLOOKUP(All_Staff[[#This Row],[Rating]],'Salary Vs Rating'!$E$2:$E$6,'Salary Vs Rating'!$F$2:$F$6)</f>
        <v>3</v>
      </c>
      <c r="L163" s="41"/>
      <c r="M163" s="41"/>
      <c r="N163" s="9"/>
    </row>
    <row r="164" spans="1:14" x14ac:dyDescent="0.3">
      <c r="A164" s="6" t="s">
        <v>96</v>
      </c>
      <c r="B164" s="6" t="s">
        <v>8</v>
      </c>
      <c r="C164">
        <v>28</v>
      </c>
      <c r="D164" t="s">
        <v>16</v>
      </c>
      <c r="E164" s="7">
        <v>44649</v>
      </c>
      <c r="F164" s="6" t="s">
        <v>9</v>
      </c>
      <c r="G164" s="40">
        <v>104120</v>
      </c>
      <c r="H164" t="s">
        <v>207</v>
      </c>
      <c r="I164" s="9">
        <f ca="1">(TODAY()-All_Staff[[#This Row],[Date Joined]])/365</f>
        <v>3.8027397260273972</v>
      </c>
      <c r="J164" s="41">
        <f>ROUNDUP(IF(All_Staff[[#This Row],[Salary]]&gt;2,3%,2%)*All_Staff[[#This Row],[Salary]],0)</f>
        <v>3124</v>
      </c>
      <c r="K164" s="46">
        <f>_xlfn.XLOOKUP(All_Staff[[#This Row],[Rating]],'Salary Vs Rating'!$E$2:$E$6,'Salary Vs Rating'!$F$2:$F$6)</f>
        <v>3</v>
      </c>
      <c r="L164" s="41"/>
      <c r="M164" s="41"/>
      <c r="N164" s="9"/>
    </row>
    <row r="165" spans="1:14" x14ac:dyDescent="0.3">
      <c r="A165" s="6" t="s">
        <v>23</v>
      </c>
      <c r="B165" s="6" t="s">
        <v>15</v>
      </c>
      <c r="C165">
        <v>37</v>
      </c>
      <c r="D165" t="s">
        <v>24</v>
      </c>
      <c r="E165" s="7">
        <v>44338</v>
      </c>
      <c r="F165" s="6" t="s">
        <v>12</v>
      </c>
      <c r="G165" s="40">
        <v>88050</v>
      </c>
      <c r="H165" t="s">
        <v>207</v>
      </c>
      <c r="I165" s="9">
        <f ca="1">(TODAY()-All_Staff[[#This Row],[Date Joined]])/365</f>
        <v>4.6547945205479451</v>
      </c>
      <c r="J165" s="41">
        <f>ROUNDUP(IF(All_Staff[[#This Row],[Salary]]&gt;2,3%,2%)*All_Staff[[#This Row],[Salary]],0)</f>
        <v>2642</v>
      </c>
      <c r="K165" s="46">
        <f>_xlfn.XLOOKUP(All_Staff[[#This Row],[Rating]],'Salary Vs Rating'!$E$2:$E$6,'Salary Vs Rating'!$F$2:$F$6)</f>
        <v>2</v>
      </c>
      <c r="L165" s="41"/>
      <c r="M165" s="41"/>
      <c r="N165" s="9"/>
    </row>
    <row r="166" spans="1:14" x14ac:dyDescent="0.3">
      <c r="A166" s="6" t="s">
        <v>103</v>
      </c>
      <c r="B166" s="6" t="s">
        <v>15</v>
      </c>
      <c r="C166">
        <v>24</v>
      </c>
      <c r="D166" t="s">
        <v>16</v>
      </c>
      <c r="E166" s="7">
        <v>44686</v>
      </c>
      <c r="F166" s="6" t="s">
        <v>12</v>
      </c>
      <c r="G166" s="40">
        <v>100420</v>
      </c>
      <c r="H166" t="s">
        <v>207</v>
      </c>
      <c r="I166" s="9">
        <f ca="1">(TODAY()-All_Staff[[#This Row],[Date Joined]])/365</f>
        <v>3.7013698630136984</v>
      </c>
      <c r="J166" s="41">
        <f>ROUNDUP(IF(All_Staff[[#This Row],[Salary]]&gt;2,3%,2%)*All_Staff[[#This Row],[Salary]],0)</f>
        <v>3013</v>
      </c>
      <c r="K166" s="46">
        <f>_xlfn.XLOOKUP(All_Staff[[#This Row],[Rating]],'Salary Vs Rating'!$E$2:$E$6,'Salary Vs Rating'!$F$2:$F$6)</f>
        <v>3</v>
      </c>
      <c r="L166" s="41"/>
      <c r="M166" s="41"/>
      <c r="N166" s="9"/>
    </row>
    <row r="167" spans="1:14" x14ac:dyDescent="0.3">
      <c r="A167" s="6" t="s">
        <v>54</v>
      </c>
      <c r="B167" s="6" t="s">
        <v>8</v>
      </c>
      <c r="C167">
        <v>30</v>
      </c>
      <c r="D167" t="s">
        <v>16</v>
      </c>
      <c r="E167" s="7">
        <v>44850</v>
      </c>
      <c r="F167" s="6" t="s">
        <v>9</v>
      </c>
      <c r="G167" s="40">
        <v>114180</v>
      </c>
      <c r="H167" t="s">
        <v>207</v>
      </c>
      <c r="I167" s="9">
        <f ca="1">(TODAY()-All_Staff[[#This Row],[Date Joined]])/365</f>
        <v>3.2520547945205478</v>
      </c>
      <c r="J167" s="41">
        <f>ROUNDUP(IF(All_Staff[[#This Row],[Salary]]&gt;2,3%,2%)*All_Staff[[#This Row],[Salary]],0)</f>
        <v>3426</v>
      </c>
      <c r="K167" s="46">
        <f>_xlfn.XLOOKUP(All_Staff[[#This Row],[Rating]],'Salary Vs Rating'!$E$2:$E$6,'Salary Vs Rating'!$F$2:$F$6)</f>
        <v>3</v>
      </c>
      <c r="L167" s="41"/>
      <c r="M167" s="41"/>
      <c r="N167" s="9"/>
    </row>
    <row r="168" spans="1:14" x14ac:dyDescent="0.3">
      <c r="A168" s="6" t="s">
        <v>86</v>
      </c>
      <c r="B168" s="6" t="s">
        <v>8</v>
      </c>
      <c r="C168">
        <v>21</v>
      </c>
      <c r="D168" t="s">
        <v>16</v>
      </c>
      <c r="E168" s="7">
        <v>44678</v>
      </c>
      <c r="F168" s="6" t="s">
        <v>12</v>
      </c>
      <c r="G168" s="40">
        <v>33920</v>
      </c>
      <c r="H168" t="s">
        <v>207</v>
      </c>
      <c r="I168" s="9">
        <f ca="1">(TODAY()-All_Staff[[#This Row],[Date Joined]])/365</f>
        <v>3.7232876712328768</v>
      </c>
      <c r="J168" s="41">
        <f>ROUNDUP(IF(All_Staff[[#This Row],[Salary]]&gt;2,3%,2%)*All_Staff[[#This Row],[Salary]],0)</f>
        <v>1018</v>
      </c>
      <c r="K168" s="46">
        <f>_xlfn.XLOOKUP(All_Staff[[#This Row],[Rating]],'Salary Vs Rating'!$E$2:$E$6,'Salary Vs Rating'!$F$2:$F$6)</f>
        <v>3</v>
      </c>
      <c r="L168" s="41"/>
      <c r="M168" s="41"/>
      <c r="N168" s="9"/>
    </row>
    <row r="169" spans="1:14" x14ac:dyDescent="0.3">
      <c r="A169" s="6" t="s">
        <v>69</v>
      </c>
      <c r="B169" s="6" t="s">
        <v>15</v>
      </c>
      <c r="C169">
        <v>23</v>
      </c>
      <c r="D169" t="s">
        <v>16</v>
      </c>
      <c r="E169" s="7">
        <v>44440</v>
      </c>
      <c r="F169" s="6" t="s">
        <v>9</v>
      </c>
      <c r="G169" s="40">
        <v>106460</v>
      </c>
      <c r="H169" t="s">
        <v>207</v>
      </c>
      <c r="I169" s="9">
        <f ca="1">(TODAY()-All_Staff[[#This Row],[Date Joined]])/365</f>
        <v>4.375342465753425</v>
      </c>
      <c r="J169" s="41">
        <f>ROUNDUP(IF(All_Staff[[#This Row],[Salary]]&gt;2,3%,2%)*All_Staff[[#This Row],[Salary]],0)</f>
        <v>3194</v>
      </c>
      <c r="K169" s="46">
        <f>_xlfn.XLOOKUP(All_Staff[[#This Row],[Rating]],'Salary Vs Rating'!$E$2:$E$6,'Salary Vs Rating'!$F$2:$F$6)</f>
        <v>3</v>
      </c>
      <c r="L169" s="41"/>
      <c r="M169" s="41"/>
      <c r="N169" s="9"/>
    </row>
    <row r="170" spans="1:14" x14ac:dyDescent="0.3">
      <c r="A170" s="6" t="s">
        <v>57</v>
      </c>
      <c r="B170" s="6" t="s">
        <v>15</v>
      </c>
      <c r="C170">
        <v>35</v>
      </c>
      <c r="D170" t="s">
        <v>16</v>
      </c>
      <c r="E170" s="7">
        <v>44727</v>
      </c>
      <c r="F170" s="6" t="s">
        <v>9</v>
      </c>
      <c r="G170" s="40">
        <v>40400</v>
      </c>
      <c r="H170" t="s">
        <v>207</v>
      </c>
      <c r="I170" s="9">
        <f ca="1">(TODAY()-All_Staff[[#This Row],[Date Joined]])/365</f>
        <v>3.5890410958904111</v>
      </c>
      <c r="J170" s="41">
        <f>ROUNDUP(IF(All_Staff[[#This Row],[Salary]]&gt;2,3%,2%)*All_Staff[[#This Row],[Salary]],0)</f>
        <v>1212</v>
      </c>
      <c r="K170" s="46">
        <f>_xlfn.XLOOKUP(All_Staff[[#This Row],[Rating]],'Salary Vs Rating'!$E$2:$E$6,'Salary Vs Rating'!$F$2:$F$6)</f>
        <v>3</v>
      </c>
      <c r="L170" s="41"/>
      <c r="M170" s="41"/>
      <c r="N170" s="9"/>
    </row>
    <row r="171" spans="1:14" x14ac:dyDescent="0.3">
      <c r="A171" s="6" t="s">
        <v>68</v>
      </c>
      <c r="B171" s="6" t="s">
        <v>15</v>
      </c>
      <c r="C171">
        <v>27</v>
      </c>
      <c r="D171" t="s">
        <v>13</v>
      </c>
      <c r="E171" s="7">
        <v>44236</v>
      </c>
      <c r="F171" s="6" t="s">
        <v>21</v>
      </c>
      <c r="G171" s="40">
        <v>91650</v>
      </c>
      <c r="H171" t="s">
        <v>207</v>
      </c>
      <c r="I171" s="9">
        <f ca="1">(TODAY()-All_Staff[[#This Row],[Date Joined]])/365</f>
        <v>4.934246575342466</v>
      </c>
      <c r="J171" s="41">
        <f>ROUNDUP(IF(All_Staff[[#This Row],[Salary]]&gt;2,3%,2%)*All_Staff[[#This Row],[Salary]],0)</f>
        <v>2750</v>
      </c>
      <c r="K171" s="46">
        <f>_xlfn.XLOOKUP(All_Staff[[#This Row],[Rating]],'Salary Vs Rating'!$E$2:$E$6,'Salary Vs Rating'!$F$2:$F$6)</f>
        <v>4</v>
      </c>
      <c r="L171" s="41"/>
      <c r="M171" s="41"/>
      <c r="N171" s="9"/>
    </row>
    <row r="172" spans="1:14" x14ac:dyDescent="0.3">
      <c r="A172" s="6" t="s">
        <v>99</v>
      </c>
      <c r="B172" s="6" t="s">
        <v>15</v>
      </c>
      <c r="C172">
        <v>43</v>
      </c>
      <c r="D172" t="s">
        <v>16</v>
      </c>
      <c r="E172" s="7">
        <v>44620</v>
      </c>
      <c r="F172" s="6" t="s">
        <v>19</v>
      </c>
      <c r="G172" s="40">
        <v>36040</v>
      </c>
      <c r="H172" t="s">
        <v>207</v>
      </c>
      <c r="I172" s="9">
        <f ca="1">(TODAY()-All_Staff[[#This Row],[Date Joined]])/365</f>
        <v>3.882191780821918</v>
      </c>
      <c r="J172" s="41">
        <f>ROUNDUP(IF(All_Staff[[#This Row],[Salary]]&gt;2,3%,2%)*All_Staff[[#This Row],[Salary]],0)</f>
        <v>1082</v>
      </c>
      <c r="K172" s="46">
        <f>_xlfn.XLOOKUP(All_Staff[[#This Row],[Rating]],'Salary Vs Rating'!$E$2:$E$6,'Salary Vs Rating'!$F$2:$F$6)</f>
        <v>3</v>
      </c>
      <c r="L172" s="41"/>
      <c r="M172" s="41"/>
      <c r="N172" s="9"/>
    </row>
    <row r="173" spans="1:14" x14ac:dyDescent="0.3">
      <c r="A173" s="6" t="s">
        <v>101</v>
      </c>
      <c r="B173" s="6" t="s">
        <v>8</v>
      </c>
      <c r="C173">
        <v>40</v>
      </c>
      <c r="D173" t="s">
        <v>16</v>
      </c>
      <c r="E173" s="7">
        <v>44381</v>
      </c>
      <c r="F173" s="6" t="s">
        <v>12</v>
      </c>
      <c r="G173" s="40">
        <v>104410</v>
      </c>
      <c r="H173" t="s">
        <v>207</v>
      </c>
      <c r="I173" s="9">
        <f ca="1">(TODAY()-All_Staff[[#This Row],[Date Joined]])/365</f>
        <v>4.536986301369863</v>
      </c>
      <c r="J173" s="41">
        <f>ROUNDUP(IF(All_Staff[[#This Row],[Salary]]&gt;2,3%,2%)*All_Staff[[#This Row],[Salary]],0)</f>
        <v>3133</v>
      </c>
      <c r="K173" s="46">
        <f>_xlfn.XLOOKUP(All_Staff[[#This Row],[Rating]],'Salary Vs Rating'!$E$2:$E$6,'Salary Vs Rating'!$F$2:$F$6)</f>
        <v>3</v>
      </c>
      <c r="L173" s="41"/>
      <c r="M173" s="41"/>
      <c r="N173" s="9"/>
    </row>
    <row r="174" spans="1:14" x14ac:dyDescent="0.3">
      <c r="A174" s="6" t="s">
        <v>85</v>
      </c>
      <c r="B174" s="6" t="s">
        <v>15</v>
      </c>
      <c r="C174">
        <v>30</v>
      </c>
      <c r="D174" t="s">
        <v>16</v>
      </c>
      <c r="E174" s="7">
        <v>44606</v>
      </c>
      <c r="F174" s="6" t="s">
        <v>21</v>
      </c>
      <c r="G174" s="40">
        <v>96800</v>
      </c>
      <c r="H174" t="s">
        <v>207</v>
      </c>
      <c r="I174" s="9">
        <f ca="1">(TODAY()-All_Staff[[#This Row],[Date Joined]])/365</f>
        <v>3.9205479452054797</v>
      </c>
      <c r="J174" s="41">
        <f>ROUNDUP(IF(All_Staff[[#This Row],[Salary]]&gt;2,3%,2%)*All_Staff[[#This Row],[Salary]],0)</f>
        <v>2904</v>
      </c>
      <c r="K174" s="46">
        <f>_xlfn.XLOOKUP(All_Staff[[#This Row],[Rating]],'Salary Vs Rating'!$E$2:$E$6,'Salary Vs Rating'!$F$2:$F$6)</f>
        <v>3</v>
      </c>
      <c r="L174" s="41"/>
      <c r="M174" s="41"/>
      <c r="N174" s="9"/>
    </row>
    <row r="175" spans="1:14" x14ac:dyDescent="0.3">
      <c r="A175" s="6" t="s">
        <v>28</v>
      </c>
      <c r="B175" s="6" t="s">
        <v>8</v>
      </c>
      <c r="C175">
        <v>34</v>
      </c>
      <c r="D175" t="s">
        <v>16</v>
      </c>
      <c r="E175" s="7">
        <v>44459</v>
      </c>
      <c r="F175" s="6" t="s">
        <v>21</v>
      </c>
      <c r="G175" s="40">
        <v>85000</v>
      </c>
      <c r="H175" t="s">
        <v>207</v>
      </c>
      <c r="I175" s="9">
        <f ca="1">(TODAY()-All_Staff[[#This Row],[Date Joined]])/365</f>
        <v>4.3232876712328769</v>
      </c>
      <c r="J175" s="41">
        <f>ROUNDUP(IF(All_Staff[[#This Row],[Salary]]&gt;2,3%,2%)*All_Staff[[#This Row],[Salary]],0)</f>
        <v>2550</v>
      </c>
      <c r="K175" s="46">
        <f>_xlfn.XLOOKUP(All_Staff[[#This Row],[Rating]],'Salary Vs Rating'!$E$2:$E$6,'Salary Vs Rating'!$F$2:$F$6)</f>
        <v>3</v>
      </c>
      <c r="L175" s="41"/>
      <c r="M175" s="41"/>
      <c r="N175" s="9"/>
    </row>
    <row r="176" spans="1:14" x14ac:dyDescent="0.3">
      <c r="A176" s="6" t="s">
        <v>80</v>
      </c>
      <c r="B176" s="6" t="s">
        <v>15</v>
      </c>
      <c r="C176">
        <v>28</v>
      </c>
      <c r="D176" t="s">
        <v>42</v>
      </c>
      <c r="E176" s="7">
        <v>44820</v>
      </c>
      <c r="F176" s="6" t="s">
        <v>19</v>
      </c>
      <c r="G176" s="40">
        <v>43510</v>
      </c>
      <c r="H176" t="s">
        <v>207</v>
      </c>
      <c r="I176" s="9">
        <f ca="1">(TODAY()-All_Staff[[#This Row],[Date Joined]])/365</f>
        <v>3.3342465753424659</v>
      </c>
      <c r="J176" s="41">
        <f>ROUNDUP(IF(All_Staff[[#This Row],[Salary]]&gt;2,3%,2%)*All_Staff[[#This Row],[Salary]],0)</f>
        <v>1306</v>
      </c>
      <c r="K176" s="46">
        <f>_xlfn.XLOOKUP(All_Staff[[#This Row],[Rating]],'Salary Vs Rating'!$E$2:$E$6,'Salary Vs Rating'!$F$2:$F$6)</f>
        <v>1</v>
      </c>
      <c r="L176" s="41"/>
      <c r="M176" s="41"/>
      <c r="N176" s="9"/>
    </row>
    <row r="177" spans="1:14" x14ac:dyDescent="0.3">
      <c r="A177" s="6" t="s">
        <v>79</v>
      </c>
      <c r="B177" s="6" t="s">
        <v>15</v>
      </c>
      <c r="C177">
        <v>33</v>
      </c>
      <c r="D177" t="s">
        <v>16</v>
      </c>
      <c r="E177" s="7">
        <v>44243</v>
      </c>
      <c r="F177" s="6" t="s">
        <v>21</v>
      </c>
      <c r="G177" s="40">
        <v>59430</v>
      </c>
      <c r="H177" t="s">
        <v>207</v>
      </c>
      <c r="I177" s="9">
        <f ca="1">(TODAY()-All_Staff[[#This Row],[Date Joined]])/365</f>
        <v>4.9150684931506845</v>
      </c>
      <c r="J177" s="41">
        <f>ROUNDUP(IF(All_Staff[[#This Row],[Salary]]&gt;2,3%,2%)*All_Staff[[#This Row],[Salary]],0)</f>
        <v>1783</v>
      </c>
      <c r="K177" s="46">
        <f>_xlfn.XLOOKUP(All_Staff[[#This Row],[Rating]],'Salary Vs Rating'!$E$2:$E$6,'Salary Vs Rating'!$F$2:$F$6)</f>
        <v>3</v>
      </c>
      <c r="L177" s="41"/>
      <c r="M177" s="41"/>
      <c r="N177" s="9"/>
    </row>
    <row r="178" spans="1:14" x14ac:dyDescent="0.3">
      <c r="A178" s="6" t="s">
        <v>93</v>
      </c>
      <c r="B178" s="6" t="s">
        <v>8</v>
      </c>
      <c r="C178">
        <v>33</v>
      </c>
      <c r="D178" t="s">
        <v>16</v>
      </c>
      <c r="E178" s="7">
        <v>44067</v>
      </c>
      <c r="F178" s="6" t="s">
        <v>21</v>
      </c>
      <c r="G178" s="40">
        <v>65360</v>
      </c>
      <c r="H178" t="s">
        <v>207</v>
      </c>
      <c r="I178" s="9">
        <f ca="1">(TODAY()-All_Staff[[#This Row],[Date Joined]])/365</f>
        <v>5.397260273972603</v>
      </c>
      <c r="J178" s="41">
        <f>ROUNDUP(IF(All_Staff[[#This Row],[Salary]]&gt;2,3%,2%)*All_Staff[[#This Row],[Salary]],0)</f>
        <v>1961</v>
      </c>
      <c r="K178" s="46">
        <f>_xlfn.XLOOKUP(All_Staff[[#This Row],[Rating]],'Salary Vs Rating'!$E$2:$E$6,'Salary Vs Rating'!$F$2:$F$6)</f>
        <v>3</v>
      </c>
      <c r="L178" s="41"/>
      <c r="M178" s="41"/>
      <c r="N178" s="9"/>
    </row>
    <row r="179" spans="1:14" x14ac:dyDescent="0.3">
      <c r="A179" s="6" t="s">
        <v>66</v>
      </c>
      <c r="B179" s="6" t="s">
        <v>8</v>
      </c>
      <c r="C179">
        <v>32</v>
      </c>
      <c r="D179" t="s">
        <v>16</v>
      </c>
      <c r="E179" s="7">
        <v>44611</v>
      </c>
      <c r="F179" s="6" t="s">
        <v>9</v>
      </c>
      <c r="G179" s="40">
        <v>41570</v>
      </c>
      <c r="H179" t="s">
        <v>207</v>
      </c>
      <c r="I179" s="9">
        <f ca="1">(TODAY()-All_Staff[[#This Row],[Date Joined]])/365</f>
        <v>3.9068493150684933</v>
      </c>
      <c r="J179" s="41">
        <f>ROUNDUP(IF(All_Staff[[#This Row],[Salary]]&gt;2,3%,2%)*All_Staff[[#This Row],[Salary]],0)</f>
        <v>1248</v>
      </c>
      <c r="K179" s="46">
        <f>_xlfn.XLOOKUP(All_Staff[[#This Row],[Rating]],'Salary Vs Rating'!$E$2:$E$6,'Salary Vs Rating'!$F$2:$F$6)</f>
        <v>3</v>
      </c>
      <c r="L179" s="41"/>
      <c r="M179" s="41"/>
      <c r="N179" s="9"/>
    </row>
    <row r="180" spans="1:14" x14ac:dyDescent="0.3">
      <c r="A180" s="6" t="s">
        <v>95</v>
      </c>
      <c r="B180" s="6" t="s">
        <v>8</v>
      </c>
      <c r="C180">
        <v>33</v>
      </c>
      <c r="D180" t="s">
        <v>16</v>
      </c>
      <c r="E180" s="7">
        <v>44312</v>
      </c>
      <c r="F180" s="6" t="s">
        <v>12</v>
      </c>
      <c r="G180" s="40">
        <v>75280</v>
      </c>
      <c r="H180" t="s">
        <v>207</v>
      </c>
      <c r="I180" s="9">
        <f ca="1">(TODAY()-All_Staff[[#This Row],[Date Joined]])/365</f>
        <v>4.7260273972602738</v>
      </c>
      <c r="J180" s="41">
        <f>ROUNDUP(IF(All_Staff[[#This Row],[Salary]]&gt;2,3%,2%)*All_Staff[[#This Row],[Salary]],0)</f>
        <v>2259</v>
      </c>
      <c r="K180" s="46">
        <f>_xlfn.XLOOKUP(All_Staff[[#This Row],[Rating]],'Salary Vs Rating'!$E$2:$E$6,'Salary Vs Rating'!$F$2:$F$6)</f>
        <v>3</v>
      </c>
      <c r="L180" s="41"/>
      <c r="M180" s="41"/>
      <c r="N180" s="9"/>
    </row>
    <row r="181" spans="1:14" x14ac:dyDescent="0.3">
      <c r="A181" s="6" t="s">
        <v>18</v>
      </c>
      <c r="B181" s="6" t="s">
        <v>15</v>
      </c>
      <c r="C181">
        <v>33</v>
      </c>
      <c r="D181" t="s">
        <v>16</v>
      </c>
      <c r="E181" s="7">
        <v>44385</v>
      </c>
      <c r="F181" s="6" t="s">
        <v>19</v>
      </c>
      <c r="G181" s="40">
        <v>74550</v>
      </c>
      <c r="H181" t="s">
        <v>207</v>
      </c>
      <c r="I181" s="9">
        <f ca="1">(TODAY()-All_Staff[[#This Row],[Date Joined]])/365</f>
        <v>4.5260273972602736</v>
      </c>
      <c r="J181" s="41">
        <f>ROUNDUP(IF(All_Staff[[#This Row],[Salary]]&gt;2,3%,2%)*All_Staff[[#This Row],[Salary]],0)</f>
        <v>2237</v>
      </c>
      <c r="K181" s="46">
        <f>_xlfn.XLOOKUP(All_Staff[[#This Row],[Rating]],'Salary Vs Rating'!$E$2:$E$6,'Salary Vs Rating'!$F$2:$F$6)</f>
        <v>3</v>
      </c>
      <c r="L181" s="41"/>
      <c r="M181" s="41"/>
      <c r="N181" s="9"/>
    </row>
    <row r="182" spans="1:14" x14ac:dyDescent="0.3">
      <c r="A182" s="6" t="s">
        <v>45</v>
      </c>
      <c r="B182" s="6" t="s">
        <v>15</v>
      </c>
      <c r="C182">
        <v>30</v>
      </c>
      <c r="D182" t="s">
        <v>16</v>
      </c>
      <c r="E182" s="7">
        <v>44701</v>
      </c>
      <c r="F182" s="6" t="s">
        <v>9</v>
      </c>
      <c r="G182" s="40">
        <v>67950</v>
      </c>
      <c r="H182" t="s">
        <v>207</v>
      </c>
      <c r="I182" s="9">
        <f ca="1">(TODAY()-All_Staff[[#This Row],[Date Joined]])/365</f>
        <v>3.6602739726027398</v>
      </c>
      <c r="J182" s="41">
        <f>ROUNDUP(IF(All_Staff[[#This Row],[Salary]]&gt;2,3%,2%)*All_Staff[[#This Row],[Salary]],0)</f>
        <v>2039</v>
      </c>
      <c r="K182" s="46">
        <f>_xlfn.XLOOKUP(All_Staff[[#This Row],[Rating]],'Salary Vs Rating'!$E$2:$E$6,'Salary Vs Rating'!$F$2:$F$6)</f>
        <v>3</v>
      </c>
      <c r="L182" s="41"/>
      <c r="M182" s="41"/>
      <c r="N182" s="9"/>
    </row>
    <row r="183" spans="1:14" x14ac:dyDescent="0.3">
      <c r="A183" s="6" t="s">
        <v>90</v>
      </c>
      <c r="B183" s="6" t="s">
        <v>15</v>
      </c>
      <c r="C183">
        <v>42</v>
      </c>
      <c r="D183" t="s">
        <v>24</v>
      </c>
      <c r="E183" s="7">
        <v>44731</v>
      </c>
      <c r="F183" s="6" t="s">
        <v>21</v>
      </c>
      <c r="G183" s="40">
        <v>70270</v>
      </c>
      <c r="H183" t="s">
        <v>207</v>
      </c>
      <c r="I183" s="9">
        <f ca="1">(TODAY()-All_Staff[[#This Row],[Date Joined]])/365</f>
        <v>3.5780821917808221</v>
      </c>
      <c r="J183" s="41">
        <f>ROUNDUP(IF(All_Staff[[#This Row],[Salary]]&gt;2,3%,2%)*All_Staff[[#This Row],[Salary]],0)</f>
        <v>2109</v>
      </c>
      <c r="K183" s="46">
        <f>_xlfn.XLOOKUP(All_Staff[[#This Row],[Rating]],'Salary Vs Rating'!$E$2:$E$6,'Salary Vs Rating'!$F$2:$F$6)</f>
        <v>2</v>
      </c>
      <c r="L183" s="41"/>
      <c r="M183" s="41"/>
      <c r="N183" s="9"/>
    </row>
    <row r="184" spans="1:14" x14ac:dyDescent="0.3">
      <c r="A184" s="6" t="s">
        <v>46</v>
      </c>
      <c r="B184" s="6" t="s">
        <v>15</v>
      </c>
      <c r="C184">
        <v>26</v>
      </c>
      <c r="D184" t="s">
        <v>16</v>
      </c>
      <c r="E184" s="7">
        <v>44411</v>
      </c>
      <c r="F184" s="6" t="s">
        <v>9</v>
      </c>
      <c r="G184" s="40">
        <v>53540</v>
      </c>
      <c r="H184" t="s">
        <v>207</v>
      </c>
      <c r="I184" s="9">
        <f ca="1">(TODAY()-All_Staff[[#This Row],[Date Joined]])/365</f>
        <v>4.4547945205479449</v>
      </c>
      <c r="J184" s="41">
        <f>ROUNDUP(IF(All_Staff[[#This Row],[Salary]]&gt;2,3%,2%)*All_Staff[[#This Row],[Salary]],0)</f>
        <v>1607</v>
      </c>
      <c r="K184" s="46">
        <f>_xlfn.XLOOKUP(All_Staff[[#This Row],[Rating]],'Salary Vs Rating'!$E$2:$E$6,'Salary Vs Rating'!$F$2:$F$6)</f>
        <v>3</v>
      </c>
      <c r="L184" s="41"/>
      <c r="M184" s="41"/>
      <c r="N184" s="9"/>
    </row>
    <row r="185" spans="1:14" x14ac:dyDescent="0.3">
      <c r="A185" t="s">
        <v>203</v>
      </c>
      <c r="C185">
        <f>SUBTOTAL(101,All_Staff[Age])</f>
        <v>30.42622950819672</v>
      </c>
      <c r="G185" s="40">
        <f>SUBTOTAL(104,All_Staff[Salary])</f>
        <v>119110</v>
      </c>
      <c r="I185" s="9">
        <f ca="1">SUBTOTAL(101,All_Staff[Tenure])</f>
        <v>4.3944307208623403</v>
      </c>
      <c r="J185" s="41">
        <f>SUBTOTAL(109,All_Staff[Bonus])</f>
        <v>423776</v>
      </c>
      <c r="L185" s="41"/>
      <c r="M185" s="41"/>
    </row>
  </sheetData>
  <mergeCells count="25">
    <mergeCell ref="P25:Q25"/>
    <mergeCell ref="P26:Q26"/>
    <mergeCell ref="P27:Q27"/>
    <mergeCell ref="P20:Q20"/>
    <mergeCell ref="P21:Q21"/>
    <mergeCell ref="P22:Q22"/>
    <mergeCell ref="P23:Q23"/>
    <mergeCell ref="P24:Q24"/>
    <mergeCell ref="P13:S13"/>
    <mergeCell ref="P14:S14"/>
    <mergeCell ref="P12:S12"/>
    <mergeCell ref="O1:O2"/>
    <mergeCell ref="O17:O18"/>
    <mergeCell ref="P17:R18"/>
    <mergeCell ref="P6:S6"/>
    <mergeCell ref="P7:S7"/>
    <mergeCell ref="P8:S8"/>
    <mergeCell ref="P9:S9"/>
    <mergeCell ref="P10:S10"/>
    <mergeCell ref="P11:S11"/>
    <mergeCell ref="P1:S1"/>
    <mergeCell ref="P2:S2"/>
    <mergeCell ref="P3:S3"/>
    <mergeCell ref="P4:S4"/>
    <mergeCell ref="P5:S5"/>
  </mergeCells>
  <conditionalFormatting sqref="G2:G184">
    <cfRule type="colorScale" priority="1">
      <colorScale>
        <cfvo type="min"/>
        <cfvo type="percentile" val="50"/>
        <cfvo type="max"/>
        <color rgb="FFF8696B"/>
        <color rgb="FFFCFCFF"/>
        <color rgb="FF5A8AC6"/>
      </colorScale>
    </cfRule>
  </conditionalFormatting>
  <dataValidations count="1">
    <dataValidation type="list" allowBlank="1" showInputMessage="1" showErrorMessage="1" sqref="P17:R18" xr:uid="{885D50D5-5A8B-4EA1-BCC5-70017B528FC1}">
      <formula1>$A$2:$A$184</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667C5A-5680-4617-BE88-0F97DBA13621}">
  <sheetPr>
    <tabColor theme="7" tint="0.39997558519241921"/>
  </sheetPr>
  <dimension ref="A1:L60"/>
  <sheetViews>
    <sheetView workbookViewId="0">
      <selection activeCell="P6" sqref="P6"/>
    </sheetView>
  </sheetViews>
  <sheetFormatPr defaultRowHeight="14.4" x14ac:dyDescent="0.3"/>
  <cols>
    <col min="2" max="2" width="22.44140625" bestFit="1" customWidth="1"/>
    <col min="3" max="3" width="7.109375" bestFit="1" customWidth="1"/>
    <col min="4" max="4" width="12" bestFit="1" customWidth="1"/>
    <col min="5" max="5" width="13.109375" bestFit="1" customWidth="1"/>
    <col min="6" max="6" width="10.77734375" bestFit="1" customWidth="1"/>
    <col min="7" max="7" width="11.109375" bestFit="1" customWidth="1"/>
    <col min="8" max="8" width="13.109375" bestFit="1" customWidth="1"/>
    <col min="9" max="9" width="7.77734375" bestFit="1" customWidth="1"/>
    <col min="10" max="10" width="6.88671875" bestFit="1" customWidth="1"/>
    <col min="11" max="11" width="10.5546875" bestFit="1" customWidth="1"/>
  </cols>
  <sheetData>
    <row r="1" spans="1:12" x14ac:dyDescent="0.3">
      <c r="A1" s="42">
        <v>3</v>
      </c>
      <c r="B1" s="16"/>
      <c r="C1" s="16"/>
      <c r="D1" s="16"/>
      <c r="E1" s="16"/>
      <c r="F1" s="16"/>
      <c r="G1" s="16"/>
      <c r="H1" s="16"/>
      <c r="I1" s="16"/>
      <c r="J1" s="16"/>
      <c r="K1" s="16"/>
    </row>
    <row r="2" spans="1:12" x14ac:dyDescent="0.3">
      <c r="A2" s="42"/>
      <c r="B2" s="16"/>
      <c r="C2" s="16"/>
      <c r="D2" s="16"/>
      <c r="E2" s="16"/>
      <c r="F2" s="16"/>
      <c r="G2" s="16"/>
      <c r="H2" s="16"/>
      <c r="I2" s="16"/>
      <c r="J2" s="16"/>
      <c r="K2" s="16"/>
    </row>
    <row r="3" spans="1:12" x14ac:dyDescent="0.3">
      <c r="A3" s="16"/>
      <c r="B3" s="43" t="s">
        <v>2</v>
      </c>
      <c r="C3" s="43"/>
      <c r="D3" s="43"/>
      <c r="E3" s="43" t="s">
        <v>12</v>
      </c>
      <c r="F3" s="43"/>
      <c r="G3" s="16"/>
      <c r="H3" s="16"/>
      <c r="I3" s="16"/>
      <c r="J3" s="16"/>
      <c r="K3" s="16"/>
    </row>
    <row r="4" spans="1:12" x14ac:dyDescent="0.3">
      <c r="A4" s="16"/>
      <c r="B4" s="43"/>
      <c r="C4" s="43"/>
      <c r="D4" s="43"/>
      <c r="E4" s="43"/>
      <c r="F4" s="43"/>
      <c r="G4" s="16"/>
      <c r="H4" s="16"/>
      <c r="I4" s="16"/>
      <c r="J4" s="16"/>
      <c r="K4" s="16"/>
    </row>
    <row r="5" spans="1:12" x14ac:dyDescent="0.3">
      <c r="A5" s="16"/>
      <c r="B5" s="44" t="s">
        <v>0</v>
      </c>
      <c r="C5" s="44" t="s">
        <v>1</v>
      </c>
      <c r="D5" s="44" t="s">
        <v>3</v>
      </c>
      <c r="E5" s="44" t="s">
        <v>6</v>
      </c>
      <c r="F5" s="44" t="s">
        <v>4</v>
      </c>
      <c r="G5" s="44" t="s">
        <v>2</v>
      </c>
      <c r="H5" s="44" t="s">
        <v>5</v>
      </c>
      <c r="I5" s="44" t="s">
        <v>204</v>
      </c>
      <c r="J5" s="44" t="s">
        <v>215</v>
      </c>
      <c r="K5" s="44" t="s">
        <v>237</v>
      </c>
    </row>
    <row r="6" spans="1:12" x14ac:dyDescent="0.3">
      <c r="A6" s="16"/>
      <c r="B6" s="16" t="str" cm="1">
        <f t="array" aca="1" ref="B6:L59" ca="1">_xlfn._xlws.SORT(_xlfn._xlws.FILTER(All_Staff[],All_Staff[Department]=E3),5,-1)</f>
        <v>Wilone O'Kielt</v>
      </c>
      <c r="C6" s="16" t="str">
        <f ca="1"/>
        <v>Female</v>
      </c>
      <c r="D6" s="16">
        <f ca="1"/>
        <v>43</v>
      </c>
      <c r="E6" s="16" t="str">
        <f ca="1"/>
        <v>Average</v>
      </c>
      <c r="F6" s="37">
        <f ca="1"/>
        <v>45045</v>
      </c>
      <c r="G6" s="16" t="str">
        <f ca="1"/>
        <v>Website</v>
      </c>
      <c r="H6" s="17">
        <f ca="1"/>
        <v>114870</v>
      </c>
      <c r="I6" s="16" t="str">
        <f ca="1"/>
        <v>NZ</v>
      </c>
      <c r="J6" s="10">
        <f ca="1"/>
        <v>2.7178082191780821</v>
      </c>
      <c r="K6" s="37">
        <f ca="1"/>
        <v>3447</v>
      </c>
      <c r="L6">
        <f ca="1"/>
        <v>3</v>
      </c>
    </row>
    <row r="7" spans="1:12" x14ac:dyDescent="0.3">
      <c r="A7" s="16"/>
      <c r="B7" s="16" t="str">
        <f ca="1"/>
        <v>Ramnath Ravuri</v>
      </c>
      <c r="C7" s="16" t="str">
        <f ca="1"/>
        <v>Female</v>
      </c>
      <c r="D7" s="16">
        <f ca="1"/>
        <v>44</v>
      </c>
      <c r="E7" s="16" t="str">
        <f ca="1"/>
        <v>Average</v>
      </c>
      <c r="F7" s="37">
        <f ca="1"/>
        <v>44985</v>
      </c>
      <c r="G7" s="16" t="str">
        <f ca="1"/>
        <v>Website</v>
      </c>
      <c r="H7" s="17">
        <f ca="1"/>
        <v>114870</v>
      </c>
      <c r="I7" s="16" t="str">
        <f ca="1"/>
        <v>IND</v>
      </c>
      <c r="J7" s="10">
        <f ca="1"/>
        <v>2.882191780821918</v>
      </c>
      <c r="K7" s="37">
        <f ca="1"/>
        <v>3447</v>
      </c>
      <c r="L7">
        <f ca="1"/>
        <v>3</v>
      </c>
    </row>
    <row r="8" spans="1:12" x14ac:dyDescent="0.3">
      <c r="A8" s="16"/>
      <c r="B8" s="16" t="str">
        <f ca="1"/>
        <v>Myer McCory</v>
      </c>
      <c r="C8" s="16" t="str">
        <f ca="1"/>
        <v>Male</v>
      </c>
      <c r="D8" s="16">
        <f ca="1"/>
        <v>30</v>
      </c>
      <c r="E8" s="16" t="str">
        <f ca="1"/>
        <v>Average</v>
      </c>
      <c r="F8" s="37">
        <f ca="1"/>
        <v>44850</v>
      </c>
      <c r="G8" s="16" t="str">
        <f ca="1"/>
        <v>Website</v>
      </c>
      <c r="H8" s="17">
        <f ca="1"/>
        <v>69710</v>
      </c>
      <c r="I8" s="16" t="str">
        <f ca="1"/>
        <v>NZ</v>
      </c>
      <c r="J8" s="10">
        <f ca="1"/>
        <v>3.2520547945205478</v>
      </c>
      <c r="K8" s="37">
        <f ca="1"/>
        <v>2092</v>
      </c>
      <c r="L8">
        <f ca="1"/>
        <v>3</v>
      </c>
    </row>
    <row r="9" spans="1:12" x14ac:dyDescent="0.3">
      <c r="A9" s="16"/>
      <c r="B9" s="16" t="str">
        <f ca="1"/>
        <v>Shekhar Eswara</v>
      </c>
      <c r="C9" s="16" t="str">
        <f ca="1"/>
        <v>Male</v>
      </c>
      <c r="D9" s="16">
        <f ca="1"/>
        <v>30</v>
      </c>
      <c r="E9" s="16" t="str">
        <f ca="1"/>
        <v>Average</v>
      </c>
      <c r="F9" s="37">
        <f ca="1"/>
        <v>44789</v>
      </c>
      <c r="G9" s="16" t="str">
        <f ca="1"/>
        <v>Website</v>
      </c>
      <c r="H9" s="17">
        <f ca="1"/>
        <v>69710</v>
      </c>
      <c r="I9" s="16" t="str">
        <f ca="1"/>
        <v>IND</v>
      </c>
      <c r="J9" s="10">
        <f ca="1"/>
        <v>3.419178082191781</v>
      </c>
      <c r="K9" s="37">
        <f ca="1"/>
        <v>2092</v>
      </c>
      <c r="L9">
        <f ca="1"/>
        <v>3</v>
      </c>
    </row>
    <row r="10" spans="1:12" x14ac:dyDescent="0.3">
      <c r="A10" s="16"/>
      <c r="B10" s="16" t="str">
        <f ca="1"/>
        <v>Madge McCloughen</v>
      </c>
      <c r="C10" s="16" t="str">
        <f ca="1"/>
        <v>Other</v>
      </c>
      <c r="D10" s="16">
        <f ca="1"/>
        <v>32</v>
      </c>
      <c r="E10" s="16" t="str">
        <f ca="1"/>
        <v>Average</v>
      </c>
      <c r="F10" s="37">
        <f ca="1"/>
        <v>44774</v>
      </c>
      <c r="G10" s="16" t="str">
        <f ca="1"/>
        <v>Website</v>
      </c>
      <c r="H10" s="17">
        <f ca="1"/>
        <v>91310</v>
      </c>
      <c r="I10" s="16" t="str">
        <f ca="1"/>
        <v>NZ</v>
      </c>
      <c r="J10" s="10">
        <f ca="1"/>
        <v>3.4602739726027396</v>
      </c>
      <c r="K10" s="37">
        <f ca="1"/>
        <v>2740</v>
      </c>
      <c r="L10">
        <f ca="1"/>
        <v>3</v>
      </c>
    </row>
    <row r="11" spans="1:12" x14ac:dyDescent="0.3">
      <c r="A11" s="16"/>
      <c r="B11" s="16" t="str">
        <f ca="1"/>
        <v>Rukma Vinita</v>
      </c>
      <c r="C11" s="16" t="str">
        <f ca="1"/>
        <v>Other</v>
      </c>
      <c r="D11" s="16">
        <f ca="1"/>
        <v>32</v>
      </c>
      <c r="E11" s="16" t="str">
        <f ca="1"/>
        <v>Average</v>
      </c>
      <c r="F11" s="37">
        <f ca="1"/>
        <v>44713</v>
      </c>
      <c r="G11" s="16" t="str">
        <f ca="1"/>
        <v>Website</v>
      </c>
      <c r="H11" s="17">
        <f ca="1"/>
        <v>91310</v>
      </c>
      <c r="I11" s="16" t="str">
        <f ca="1"/>
        <v>IND</v>
      </c>
      <c r="J11" s="10">
        <f ca="1"/>
        <v>3.6273972602739728</v>
      </c>
      <c r="K11" s="37">
        <f ca="1"/>
        <v>2740</v>
      </c>
      <c r="L11">
        <f ca="1"/>
        <v>3</v>
      </c>
    </row>
    <row r="12" spans="1:12" x14ac:dyDescent="0.3">
      <c r="A12" s="16"/>
      <c r="B12" s="16" t="str">
        <f ca="1"/>
        <v>Murry Dryburgh</v>
      </c>
      <c r="C12" s="16" t="str">
        <f ca="1"/>
        <v>Male</v>
      </c>
      <c r="D12" s="16">
        <f ca="1"/>
        <v>37</v>
      </c>
      <c r="E12" s="16" t="str">
        <f ca="1"/>
        <v>Average</v>
      </c>
      <c r="F12" s="37">
        <f ca="1"/>
        <v>44701</v>
      </c>
      <c r="G12" s="16" t="str">
        <f ca="1"/>
        <v>Website</v>
      </c>
      <c r="H12" s="17">
        <f ca="1"/>
        <v>69070</v>
      </c>
      <c r="I12" s="16" t="str">
        <f ca="1"/>
        <v>NZ</v>
      </c>
      <c r="J12" s="10">
        <f ca="1"/>
        <v>3.6602739726027398</v>
      </c>
      <c r="K12" s="37">
        <f ca="1"/>
        <v>2073</v>
      </c>
      <c r="L12">
        <f ca="1"/>
        <v>3</v>
      </c>
    </row>
    <row r="13" spans="1:12" x14ac:dyDescent="0.3">
      <c r="A13" s="16"/>
      <c r="B13" s="16" t="str">
        <f ca="1"/>
        <v>Van Tuxwell</v>
      </c>
      <c r="C13" s="16" t="str">
        <f ca="1"/>
        <v>Female</v>
      </c>
      <c r="D13" s="16">
        <f ca="1"/>
        <v>25</v>
      </c>
      <c r="E13" s="16" t="str">
        <f ca="1"/>
        <v>Above average</v>
      </c>
      <c r="F13" s="37">
        <f ca="1"/>
        <v>44694</v>
      </c>
      <c r="G13" s="16" t="str">
        <f ca="1"/>
        <v>Website</v>
      </c>
      <c r="H13" s="17">
        <f ca="1"/>
        <v>80700</v>
      </c>
      <c r="I13" s="16" t="str">
        <f ca="1"/>
        <v>NZ</v>
      </c>
      <c r="J13" s="10">
        <f ca="1"/>
        <v>3.6794520547945204</v>
      </c>
      <c r="K13" s="37">
        <f ca="1"/>
        <v>2421</v>
      </c>
      <c r="L13">
        <f ca="1"/>
        <v>4</v>
      </c>
    </row>
    <row r="14" spans="1:12" x14ac:dyDescent="0.3">
      <c r="A14" s="16"/>
      <c r="B14" s="16" t="str">
        <f ca="1"/>
        <v>Agnes Collicott</v>
      </c>
      <c r="C14" s="16" t="str">
        <f ca="1"/>
        <v>Female</v>
      </c>
      <c r="D14" s="16">
        <f ca="1"/>
        <v>27</v>
      </c>
      <c r="E14" s="16" t="str">
        <f ca="1"/>
        <v>Average</v>
      </c>
      <c r="F14" s="37">
        <f ca="1"/>
        <v>44686</v>
      </c>
      <c r="G14" s="16" t="str">
        <f ca="1"/>
        <v>Website</v>
      </c>
      <c r="H14" s="17">
        <f ca="1"/>
        <v>83750</v>
      </c>
      <c r="I14" s="16" t="str">
        <f ca="1"/>
        <v>NZ</v>
      </c>
      <c r="J14" s="10">
        <f ca="1"/>
        <v>3.7013698630136984</v>
      </c>
      <c r="K14" s="37">
        <f ca="1"/>
        <v>2513</v>
      </c>
      <c r="L14">
        <f ca="1"/>
        <v>3</v>
      </c>
    </row>
    <row r="15" spans="1:12" x14ac:dyDescent="0.3">
      <c r="A15" s="16"/>
      <c r="B15" s="16" t="str">
        <f ca="1"/>
        <v>Collin Jagson</v>
      </c>
      <c r="C15" s="16" t="str">
        <f ca="1"/>
        <v>Male</v>
      </c>
      <c r="D15" s="16">
        <f ca="1"/>
        <v>24</v>
      </c>
      <c r="E15" s="16" t="str">
        <f ca="1"/>
        <v>Average</v>
      </c>
      <c r="F15" s="37">
        <f ca="1"/>
        <v>44686</v>
      </c>
      <c r="G15" s="16" t="str">
        <f ca="1"/>
        <v>Website</v>
      </c>
      <c r="H15" s="17">
        <f ca="1"/>
        <v>100420</v>
      </c>
      <c r="I15" s="16" t="str">
        <f ca="1"/>
        <v>NZ</v>
      </c>
      <c r="J15" s="10">
        <f ca="1"/>
        <v>3.7013698630136984</v>
      </c>
      <c r="K15" s="37">
        <f ca="1"/>
        <v>3013</v>
      </c>
      <c r="L15">
        <f ca="1"/>
        <v>3</v>
      </c>
    </row>
    <row r="16" spans="1:12" x14ac:dyDescent="0.3">
      <c r="A16" s="16"/>
      <c r="B16" s="16" t="str">
        <f ca="1"/>
        <v>Gretchen Callow</v>
      </c>
      <c r="C16" s="16" t="str">
        <f ca="1"/>
        <v>Female</v>
      </c>
      <c r="D16" s="16">
        <f ca="1"/>
        <v>21</v>
      </c>
      <c r="E16" s="16" t="str">
        <f ca="1"/>
        <v>Average</v>
      </c>
      <c r="F16" s="37">
        <f ca="1"/>
        <v>44678</v>
      </c>
      <c r="G16" s="16" t="str">
        <f ca="1"/>
        <v>Website</v>
      </c>
      <c r="H16" s="17">
        <f ca="1"/>
        <v>33920</v>
      </c>
      <c r="I16" s="16" t="str">
        <f ca="1"/>
        <v>NZ</v>
      </c>
      <c r="J16" s="10">
        <f ca="1"/>
        <v>3.7232876712328768</v>
      </c>
      <c r="K16" s="37">
        <f ca="1"/>
        <v>1018</v>
      </c>
      <c r="L16">
        <f ca="1"/>
        <v>3</v>
      </c>
    </row>
    <row r="17" spans="1:12" x14ac:dyDescent="0.3">
      <c r="A17" s="16"/>
      <c r="B17" s="16" t="str">
        <f ca="1"/>
        <v>Brien Boise</v>
      </c>
      <c r="C17" s="16" t="str">
        <f ca="1"/>
        <v>Female</v>
      </c>
      <c r="D17" s="16">
        <f ca="1"/>
        <v>31</v>
      </c>
      <c r="E17" s="16" t="str">
        <f ca="1"/>
        <v>Average</v>
      </c>
      <c r="F17" s="37">
        <f ca="1"/>
        <v>44663</v>
      </c>
      <c r="G17" s="16" t="str">
        <f ca="1"/>
        <v>Website</v>
      </c>
      <c r="H17" s="17">
        <f ca="1"/>
        <v>58100</v>
      </c>
      <c r="I17" s="16" t="str">
        <f ca="1"/>
        <v>NZ</v>
      </c>
      <c r="J17" s="10">
        <f ca="1"/>
        <v>3.7643835616438355</v>
      </c>
      <c r="K17" s="37">
        <f ca="1"/>
        <v>1743</v>
      </c>
      <c r="L17">
        <f ca="1"/>
        <v>3</v>
      </c>
    </row>
    <row r="18" spans="1:12" x14ac:dyDescent="0.3">
      <c r="A18" s="16"/>
      <c r="B18" s="16" t="str">
        <f ca="1"/>
        <v>Jaishree Atasi Yavatkar</v>
      </c>
      <c r="C18" s="16" t="str">
        <f ca="1"/>
        <v>Male</v>
      </c>
      <c r="D18" s="16">
        <f ca="1"/>
        <v>37</v>
      </c>
      <c r="E18" s="16" t="str">
        <f ca="1"/>
        <v>Average</v>
      </c>
      <c r="F18" s="37">
        <f ca="1"/>
        <v>44640</v>
      </c>
      <c r="G18" s="16" t="str">
        <f ca="1"/>
        <v>Website</v>
      </c>
      <c r="H18" s="17">
        <f ca="1"/>
        <v>69070</v>
      </c>
      <c r="I18" s="16" t="str">
        <f ca="1"/>
        <v>IND</v>
      </c>
      <c r="J18" s="10">
        <f ca="1"/>
        <v>3.8273972602739725</v>
      </c>
      <c r="K18" s="37">
        <f ca="1"/>
        <v>2073</v>
      </c>
      <c r="L18">
        <f ca="1"/>
        <v>3</v>
      </c>
    </row>
    <row r="19" spans="1:12" x14ac:dyDescent="0.3">
      <c r="A19" s="16"/>
      <c r="B19" s="16" t="str">
        <f ca="1"/>
        <v>Bhuvan Pals</v>
      </c>
      <c r="C19" s="16" t="str">
        <f ca="1"/>
        <v>Female</v>
      </c>
      <c r="D19" s="16">
        <f ca="1"/>
        <v>25</v>
      </c>
      <c r="E19" s="16" t="str">
        <f ca="1"/>
        <v>Above average</v>
      </c>
      <c r="F19" s="37">
        <f ca="1"/>
        <v>44633</v>
      </c>
      <c r="G19" s="16" t="str">
        <f ca="1"/>
        <v>Website</v>
      </c>
      <c r="H19" s="17">
        <f ca="1"/>
        <v>80700</v>
      </c>
      <c r="I19" s="16" t="str">
        <f ca="1"/>
        <v>IND</v>
      </c>
      <c r="J19" s="10">
        <f ca="1"/>
        <v>3.8465753424657536</v>
      </c>
      <c r="K19" s="37">
        <f ca="1"/>
        <v>2421</v>
      </c>
      <c r="L19">
        <f ca="1"/>
        <v>4</v>
      </c>
    </row>
    <row r="20" spans="1:12" x14ac:dyDescent="0.3">
      <c r="A20" s="16"/>
      <c r="B20" s="16" t="str">
        <f ca="1"/>
        <v>Amlankusum Rajabhushan</v>
      </c>
      <c r="C20" s="16" t="str">
        <f ca="1"/>
        <v>Male</v>
      </c>
      <c r="D20" s="16">
        <f ca="1"/>
        <v>24</v>
      </c>
      <c r="E20" s="16" t="str">
        <f ca="1"/>
        <v>Average</v>
      </c>
      <c r="F20" s="37">
        <f ca="1"/>
        <v>44625</v>
      </c>
      <c r="G20" s="16" t="str">
        <f ca="1"/>
        <v>Website</v>
      </c>
      <c r="H20" s="17">
        <f ca="1"/>
        <v>100420</v>
      </c>
      <c r="I20" s="16" t="str">
        <f ca="1"/>
        <v>IND</v>
      </c>
      <c r="J20" s="10">
        <f ca="1"/>
        <v>3.8684931506849316</v>
      </c>
      <c r="K20" s="37">
        <f ca="1"/>
        <v>3013</v>
      </c>
      <c r="L20">
        <f ca="1"/>
        <v>3</v>
      </c>
    </row>
    <row r="21" spans="1:12" x14ac:dyDescent="0.3">
      <c r="A21" s="16"/>
      <c r="B21" s="16" t="str">
        <f ca="1"/>
        <v>Kunja Prashanta Vibha</v>
      </c>
      <c r="C21" s="16" t="str">
        <f ca="1"/>
        <v>Female</v>
      </c>
      <c r="D21" s="16">
        <f ca="1"/>
        <v>27</v>
      </c>
      <c r="E21" s="16" t="str">
        <f ca="1"/>
        <v>Average</v>
      </c>
      <c r="F21" s="37">
        <f ca="1"/>
        <v>44625</v>
      </c>
      <c r="G21" s="16" t="str">
        <f ca="1"/>
        <v>Website</v>
      </c>
      <c r="H21" s="17">
        <f ca="1"/>
        <v>83750</v>
      </c>
      <c r="I21" s="16" t="str">
        <f ca="1"/>
        <v>IND</v>
      </c>
      <c r="J21" s="10">
        <f ca="1"/>
        <v>3.8684931506849316</v>
      </c>
      <c r="K21" s="37">
        <f ca="1"/>
        <v>2513</v>
      </c>
      <c r="L21">
        <f ca="1"/>
        <v>3</v>
      </c>
    </row>
    <row r="22" spans="1:12" x14ac:dyDescent="0.3">
      <c r="A22" s="16"/>
      <c r="B22" s="16" t="str">
        <f ca="1"/>
        <v>Shubhra Potla</v>
      </c>
      <c r="C22" s="16" t="str">
        <f ca="1"/>
        <v>Female</v>
      </c>
      <c r="D22" s="16">
        <f ca="1"/>
        <v>21</v>
      </c>
      <c r="E22" s="16" t="str">
        <f ca="1"/>
        <v>Average</v>
      </c>
      <c r="F22" s="37">
        <f ca="1"/>
        <v>44619</v>
      </c>
      <c r="G22" s="16" t="str">
        <f ca="1"/>
        <v>Website</v>
      </c>
      <c r="H22" s="17">
        <f ca="1"/>
        <v>33920</v>
      </c>
      <c r="I22" s="16" t="str">
        <f ca="1"/>
        <v>IND</v>
      </c>
      <c r="J22" s="10">
        <f ca="1"/>
        <v>3.8849315068493149</v>
      </c>
      <c r="K22" s="37">
        <f ca="1"/>
        <v>1018</v>
      </c>
      <c r="L22">
        <f ca="1"/>
        <v>3</v>
      </c>
    </row>
    <row r="23" spans="1:12" x14ac:dyDescent="0.3">
      <c r="A23" s="16"/>
      <c r="B23" s="16" t="str">
        <f ca="1"/>
        <v>Pratigya Rema</v>
      </c>
      <c r="C23" s="16" t="str">
        <f ca="1"/>
        <v>Female</v>
      </c>
      <c r="D23" s="16">
        <f ca="1"/>
        <v>31</v>
      </c>
      <c r="E23" s="16" t="str">
        <f ca="1"/>
        <v>Average</v>
      </c>
      <c r="F23" s="37">
        <f ca="1"/>
        <v>44604</v>
      </c>
      <c r="G23" s="16" t="str">
        <f ca="1"/>
        <v>Website</v>
      </c>
      <c r="H23" s="17">
        <f ca="1"/>
        <v>58100</v>
      </c>
      <c r="I23" s="16" t="str">
        <f ca="1"/>
        <v>IND</v>
      </c>
      <c r="J23" s="10">
        <f ca="1"/>
        <v>3.9260273972602739</v>
      </c>
      <c r="K23" s="37">
        <f ca="1"/>
        <v>1743</v>
      </c>
      <c r="L23">
        <f ca="1"/>
        <v>3</v>
      </c>
    </row>
    <row r="24" spans="1:12" x14ac:dyDescent="0.3">
      <c r="A24" s="16"/>
      <c r="B24" s="16" t="str">
        <f ca="1"/>
        <v>Gunar Cockshoot</v>
      </c>
      <c r="C24" s="16" t="str">
        <f ca="1"/>
        <v>Male</v>
      </c>
      <c r="D24" s="16">
        <f ca="1"/>
        <v>31</v>
      </c>
      <c r="E24" s="16" t="str">
        <f ca="1"/>
        <v>Average</v>
      </c>
      <c r="F24" s="37">
        <f ca="1"/>
        <v>44511</v>
      </c>
      <c r="G24" s="16" t="str">
        <f ca="1"/>
        <v>Website</v>
      </c>
      <c r="H24" s="17">
        <f ca="1"/>
        <v>48950</v>
      </c>
      <c r="I24" s="16" t="str">
        <f ca="1"/>
        <v>NZ</v>
      </c>
      <c r="J24" s="10">
        <f ca="1"/>
        <v>4.1808219178082195</v>
      </c>
      <c r="K24" s="37">
        <f ca="1"/>
        <v>1469</v>
      </c>
      <c r="L24">
        <f ca="1"/>
        <v>3</v>
      </c>
    </row>
    <row r="25" spans="1:12" x14ac:dyDescent="0.3">
      <c r="A25" s="16"/>
      <c r="B25" s="16" t="str">
        <f ca="1"/>
        <v>William Reeveley</v>
      </c>
      <c r="C25" s="16" t="str">
        <f ca="1"/>
        <v>Male</v>
      </c>
      <c r="D25" s="16">
        <f ca="1"/>
        <v>33</v>
      </c>
      <c r="E25" s="16" t="str">
        <f ca="1"/>
        <v>Average</v>
      </c>
      <c r="F25" s="37">
        <f ca="1"/>
        <v>44509</v>
      </c>
      <c r="G25" s="16" t="str">
        <f ca="1"/>
        <v>Website</v>
      </c>
      <c r="H25" s="17">
        <f ca="1"/>
        <v>53870</v>
      </c>
      <c r="I25" s="16" t="str">
        <f ca="1"/>
        <v>NZ</v>
      </c>
      <c r="J25" s="10">
        <f ca="1"/>
        <v>4.1863013698630134</v>
      </c>
      <c r="K25" s="37">
        <f ca="1"/>
        <v>1617</v>
      </c>
      <c r="L25">
        <f ca="1"/>
        <v>3</v>
      </c>
    </row>
    <row r="26" spans="1:12" x14ac:dyDescent="0.3">
      <c r="A26" s="16"/>
      <c r="B26" s="16" t="str">
        <f ca="1"/>
        <v>Kaine Padly</v>
      </c>
      <c r="C26" s="16" t="str">
        <f ca="1"/>
        <v>Male</v>
      </c>
      <c r="D26" s="16">
        <f ca="1"/>
        <v>20</v>
      </c>
      <c r="E26" s="16" t="str">
        <f ca="1"/>
        <v>Average</v>
      </c>
      <c r="F26" s="37">
        <f ca="1"/>
        <v>44459</v>
      </c>
      <c r="G26" s="16" t="str">
        <f ca="1"/>
        <v>Website</v>
      </c>
      <c r="H26" s="17">
        <f ca="1"/>
        <v>107700</v>
      </c>
      <c r="I26" s="16" t="str">
        <f ca="1"/>
        <v>NZ</v>
      </c>
      <c r="J26" s="10">
        <f ca="1"/>
        <v>4.3232876712328769</v>
      </c>
      <c r="K26" s="37">
        <f ca="1"/>
        <v>3231</v>
      </c>
      <c r="L26">
        <f ca="1"/>
        <v>3</v>
      </c>
    </row>
    <row r="27" spans="1:12" x14ac:dyDescent="0.3">
      <c r="A27" s="16"/>
      <c r="B27" s="16" t="str">
        <f ca="1"/>
        <v>Amal Nimesh</v>
      </c>
      <c r="C27" s="16" t="str">
        <f ca="1"/>
        <v>Male</v>
      </c>
      <c r="D27" s="16">
        <f ca="1"/>
        <v>31</v>
      </c>
      <c r="E27" s="16" t="str">
        <f ca="1"/>
        <v>Average</v>
      </c>
      <c r="F27" s="37">
        <f ca="1"/>
        <v>44450</v>
      </c>
      <c r="G27" s="16" t="str">
        <f ca="1"/>
        <v>Website</v>
      </c>
      <c r="H27" s="17">
        <f ca="1"/>
        <v>48950</v>
      </c>
      <c r="I27" s="16" t="str">
        <f ca="1"/>
        <v>IND</v>
      </c>
      <c r="J27" s="10">
        <f ca="1"/>
        <v>4.3479452054794523</v>
      </c>
      <c r="K27" s="37">
        <f ca="1"/>
        <v>1469</v>
      </c>
      <c r="L27">
        <f ca="1"/>
        <v>3</v>
      </c>
    </row>
    <row r="28" spans="1:12" x14ac:dyDescent="0.3">
      <c r="A28" s="16"/>
      <c r="B28" s="16" t="str">
        <f ca="1"/>
        <v>Pragya Nilufar</v>
      </c>
      <c r="C28" s="16" t="str">
        <f ca="1"/>
        <v>Male</v>
      </c>
      <c r="D28" s="16">
        <f ca="1"/>
        <v>33</v>
      </c>
      <c r="E28" s="16" t="str">
        <f ca="1"/>
        <v>Average</v>
      </c>
      <c r="F28" s="37">
        <f ca="1"/>
        <v>44448</v>
      </c>
      <c r="G28" s="16" t="str">
        <f ca="1"/>
        <v>Website</v>
      </c>
      <c r="H28" s="17">
        <f ca="1"/>
        <v>53870</v>
      </c>
      <c r="I28" s="16" t="str">
        <f ca="1"/>
        <v>IND</v>
      </c>
      <c r="J28" s="10">
        <f ca="1"/>
        <v>4.353424657534247</v>
      </c>
      <c r="K28" s="37">
        <f ca="1"/>
        <v>1617</v>
      </c>
      <c r="L28">
        <f ca="1"/>
        <v>3</v>
      </c>
    </row>
    <row r="29" spans="1:12" x14ac:dyDescent="0.3">
      <c r="A29" s="16"/>
      <c r="B29" s="16" t="str">
        <f ca="1"/>
        <v>Hridaynath Tendulkar</v>
      </c>
      <c r="C29" s="16" t="str">
        <f ca="1"/>
        <v>Male</v>
      </c>
      <c r="D29" s="16">
        <f ca="1"/>
        <v>20</v>
      </c>
      <c r="E29" s="16" t="str">
        <f ca="1"/>
        <v>Average</v>
      </c>
      <c r="F29" s="37">
        <f ca="1"/>
        <v>44397</v>
      </c>
      <c r="G29" s="16" t="str">
        <f ca="1"/>
        <v>Website</v>
      </c>
      <c r="H29" s="17">
        <f ca="1"/>
        <v>107700</v>
      </c>
      <c r="I29" s="16" t="str">
        <f ca="1"/>
        <v>IND</v>
      </c>
      <c r="J29" s="10">
        <f ca="1"/>
        <v>4.493150684931507</v>
      </c>
      <c r="K29" s="37">
        <f ca="1"/>
        <v>3231</v>
      </c>
      <c r="L29">
        <f ca="1"/>
        <v>3</v>
      </c>
    </row>
    <row r="30" spans="1:12" x14ac:dyDescent="0.3">
      <c r="A30" s="16"/>
      <c r="B30" s="16" t="str">
        <f ca="1"/>
        <v>Caro Chappel</v>
      </c>
      <c r="C30" s="16" t="str">
        <f ca="1"/>
        <v>Female</v>
      </c>
      <c r="D30" s="16">
        <f ca="1"/>
        <v>40</v>
      </c>
      <c r="E30" s="16" t="str">
        <f ca="1"/>
        <v>Average</v>
      </c>
      <c r="F30" s="37">
        <f ca="1"/>
        <v>44381</v>
      </c>
      <c r="G30" s="16" t="str">
        <f ca="1"/>
        <v>Website</v>
      </c>
      <c r="H30" s="17">
        <f ca="1"/>
        <v>104410</v>
      </c>
      <c r="I30" s="16" t="str">
        <f ca="1"/>
        <v>NZ</v>
      </c>
      <c r="J30" s="10">
        <f ca="1"/>
        <v>4.536986301369863</v>
      </c>
      <c r="K30" s="37">
        <f ca="1"/>
        <v>3133</v>
      </c>
      <c r="L30">
        <f ca="1"/>
        <v>3</v>
      </c>
    </row>
    <row r="31" spans="1:12" x14ac:dyDescent="0.3">
      <c r="A31" s="16"/>
      <c r="B31" s="16" t="str">
        <f ca="1"/>
        <v>Camilla Castle</v>
      </c>
      <c r="C31" s="16" t="str">
        <f ca="1"/>
        <v>Female</v>
      </c>
      <c r="D31" s="16">
        <f ca="1"/>
        <v>33</v>
      </c>
      <c r="E31" s="16" t="str">
        <f ca="1"/>
        <v>Very poor</v>
      </c>
      <c r="F31" s="37">
        <f ca="1"/>
        <v>44374</v>
      </c>
      <c r="G31" s="16" t="str">
        <f ca="1"/>
        <v>Website</v>
      </c>
      <c r="H31" s="17">
        <f ca="1"/>
        <v>75480</v>
      </c>
      <c r="I31" s="16" t="str">
        <f ca="1"/>
        <v>NZ</v>
      </c>
      <c r="J31" s="10">
        <f ca="1"/>
        <v>4.5561643835616437</v>
      </c>
      <c r="K31" s="37">
        <f ca="1"/>
        <v>2265</v>
      </c>
      <c r="L31">
        <f ca="1"/>
        <v>1</v>
      </c>
    </row>
    <row r="32" spans="1:12" x14ac:dyDescent="0.3">
      <c r="A32" s="16"/>
      <c r="B32" s="16" t="str">
        <f ca="1"/>
        <v>Kassi Jonson</v>
      </c>
      <c r="C32" s="16" t="str">
        <f ca="1"/>
        <v>Female</v>
      </c>
      <c r="D32" s="16">
        <f ca="1"/>
        <v>32</v>
      </c>
      <c r="E32" s="16" t="str">
        <f ca="1"/>
        <v>Above average</v>
      </c>
      <c r="F32" s="37">
        <f ca="1"/>
        <v>44354</v>
      </c>
      <c r="G32" s="16" t="str">
        <f ca="1"/>
        <v>Website</v>
      </c>
      <c r="H32" s="17">
        <f ca="1"/>
        <v>43840</v>
      </c>
      <c r="I32" s="16" t="str">
        <f ca="1"/>
        <v>NZ</v>
      </c>
      <c r="J32" s="10">
        <f ca="1"/>
        <v>4.6109589041095891</v>
      </c>
      <c r="K32" s="37">
        <f ca="1"/>
        <v>1316</v>
      </c>
      <c r="L32">
        <f ca="1"/>
        <v>4</v>
      </c>
    </row>
    <row r="33" spans="1:12" x14ac:dyDescent="0.3">
      <c r="A33" s="16"/>
      <c r="B33" s="16" t="str">
        <f ca="1"/>
        <v>Ches Bonnell</v>
      </c>
      <c r="C33" s="16" t="str">
        <f ca="1"/>
        <v>Male</v>
      </c>
      <c r="D33" s="16">
        <f ca="1"/>
        <v>37</v>
      </c>
      <c r="E33" s="16" t="str">
        <f ca="1"/>
        <v>Poor</v>
      </c>
      <c r="F33" s="37">
        <f ca="1"/>
        <v>44338</v>
      </c>
      <c r="G33" s="16" t="str">
        <f ca="1"/>
        <v>Website</v>
      </c>
      <c r="H33" s="17">
        <f ca="1"/>
        <v>88050</v>
      </c>
      <c r="I33" s="16" t="str">
        <f ca="1"/>
        <v>NZ</v>
      </c>
      <c r="J33" s="10">
        <f ca="1"/>
        <v>4.6547945205479451</v>
      </c>
      <c r="K33" s="37">
        <f ca="1"/>
        <v>2642</v>
      </c>
      <c r="L33">
        <f ca="1"/>
        <v>2</v>
      </c>
    </row>
    <row r="34" spans="1:12" x14ac:dyDescent="0.3">
      <c r="A34" s="16"/>
      <c r="B34" s="16" t="str">
        <f ca="1"/>
        <v>Merrilee Plenty</v>
      </c>
      <c r="C34" s="16" t="str">
        <f ca="1"/>
        <v>Female</v>
      </c>
      <c r="D34" s="16">
        <f ca="1"/>
        <v>40</v>
      </c>
      <c r="E34" s="16" t="str">
        <f ca="1"/>
        <v>Average</v>
      </c>
      <c r="F34" s="37">
        <f ca="1"/>
        <v>44337</v>
      </c>
      <c r="G34" s="16" t="str">
        <f ca="1"/>
        <v>Website</v>
      </c>
      <c r="H34" s="17">
        <f ca="1"/>
        <v>87620</v>
      </c>
      <c r="I34" s="16" t="str">
        <f ca="1"/>
        <v>NZ</v>
      </c>
      <c r="J34" s="10">
        <f ca="1"/>
        <v>4.6575342465753424</v>
      </c>
      <c r="K34" s="37">
        <f ca="1"/>
        <v>2629</v>
      </c>
      <c r="L34">
        <f ca="1"/>
        <v>3</v>
      </c>
    </row>
    <row r="35" spans="1:12" x14ac:dyDescent="0.3">
      <c r="A35" s="16"/>
      <c r="B35" s="16" t="str">
        <f ca="1"/>
        <v>Manjusri Ruchi</v>
      </c>
      <c r="C35" s="16" t="str">
        <f ca="1"/>
        <v>Female</v>
      </c>
      <c r="D35" s="16">
        <f ca="1"/>
        <v>40</v>
      </c>
      <c r="E35" s="16" t="str">
        <f ca="1"/>
        <v>Average</v>
      </c>
      <c r="F35" s="37">
        <f ca="1"/>
        <v>44320</v>
      </c>
      <c r="G35" s="16" t="str">
        <f ca="1"/>
        <v>Website</v>
      </c>
      <c r="H35" s="17">
        <f ca="1"/>
        <v>104410</v>
      </c>
      <c r="I35" s="16" t="str">
        <f ca="1"/>
        <v>IND</v>
      </c>
      <c r="J35" s="10">
        <f ca="1"/>
        <v>4.7041095890410958</v>
      </c>
      <c r="K35" s="37">
        <f ca="1"/>
        <v>3133</v>
      </c>
      <c r="L35">
        <f ca="1"/>
        <v>3</v>
      </c>
    </row>
    <row r="36" spans="1:12" x14ac:dyDescent="0.3">
      <c r="A36" s="16"/>
      <c r="B36" s="16" t="str">
        <f ca="1"/>
        <v>Ayog Chakrabarti</v>
      </c>
      <c r="C36" s="16" t="str">
        <f ca="1"/>
        <v>Female</v>
      </c>
      <c r="D36" s="16">
        <f ca="1"/>
        <v>33</v>
      </c>
      <c r="E36" s="16" t="str">
        <f ca="1"/>
        <v>Very poor</v>
      </c>
      <c r="F36" s="37">
        <f ca="1"/>
        <v>44313</v>
      </c>
      <c r="G36" s="16" t="str">
        <f ca="1"/>
        <v>Website</v>
      </c>
      <c r="H36" s="17">
        <f ca="1"/>
        <v>75480</v>
      </c>
      <c r="I36" s="16" t="str">
        <f ca="1"/>
        <v>IND</v>
      </c>
      <c r="J36" s="10">
        <f ca="1"/>
        <v>4.7232876712328764</v>
      </c>
      <c r="K36" s="37">
        <f ca="1"/>
        <v>2265</v>
      </c>
      <c r="L36">
        <f ca="1"/>
        <v>1</v>
      </c>
    </row>
    <row r="37" spans="1:12" x14ac:dyDescent="0.3">
      <c r="A37" s="16"/>
      <c r="B37" s="16" t="str">
        <f ca="1"/>
        <v>Elia Cockton</v>
      </c>
      <c r="C37" s="16" t="str">
        <f ca="1"/>
        <v>Female</v>
      </c>
      <c r="D37" s="16">
        <f ca="1"/>
        <v>33</v>
      </c>
      <c r="E37" s="16" t="str">
        <f ca="1"/>
        <v>Average</v>
      </c>
      <c r="F37" s="37">
        <f ca="1"/>
        <v>44312</v>
      </c>
      <c r="G37" s="16" t="str">
        <f ca="1"/>
        <v>Website</v>
      </c>
      <c r="H37" s="17">
        <f ca="1"/>
        <v>75280</v>
      </c>
      <c r="I37" s="16" t="str">
        <f ca="1"/>
        <v>NZ</v>
      </c>
      <c r="J37" s="10">
        <f ca="1"/>
        <v>4.7260273972602738</v>
      </c>
      <c r="K37" s="37">
        <f ca="1"/>
        <v>2259</v>
      </c>
      <c r="L37">
        <f ca="1"/>
        <v>3</v>
      </c>
    </row>
    <row r="38" spans="1:12" x14ac:dyDescent="0.3">
      <c r="A38" s="16"/>
      <c r="B38" s="16" t="str">
        <f ca="1"/>
        <v>Yagna Sujeev</v>
      </c>
      <c r="C38" s="16" t="str">
        <f ca="1"/>
        <v>Female</v>
      </c>
      <c r="D38" s="16">
        <f ca="1"/>
        <v>32</v>
      </c>
      <c r="E38" s="16" t="str">
        <f ca="1"/>
        <v>Above average</v>
      </c>
      <c r="F38" s="37">
        <f ca="1"/>
        <v>44293</v>
      </c>
      <c r="G38" s="16" t="str">
        <f ca="1"/>
        <v>Website</v>
      </c>
      <c r="H38" s="17">
        <f ca="1"/>
        <v>43840</v>
      </c>
      <c r="I38" s="16" t="str">
        <f ca="1"/>
        <v>IND</v>
      </c>
      <c r="J38" s="10">
        <f ca="1"/>
        <v>4.7780821917808218</v>
      </c>
      <c r="K38" s="37">
        <f ca="1"/>
        <v>1316</v>
      </c>
      <c r="L38">
        <f ca="1"/>
        <v>4</v>
      </c>
    </row>
    <row r="39" spans="1:12" x14ac:dyDescent="0.3">
      <c r="A39" s="16"/>
      <c r="B39" s="16" t="str">
        <f ca="1"/>
        <v>Gangadutt Ragha</v>
      </c>
      <c r="C39" s="16" t="str">
        <f ca="1"/>
        <v>Male</v>
      </c>
      <c r="D39" s="16">
        <f ca="1"/>
        <v>37</v>
      </c>
      <c r="E39" s="16" t="str">
        <f ca="1"/>
        <v>Poor</v>
      </c>
      <c r="F39" s="37">
        <f ca="1"/>
        <v>44277</v>
      </c>
      <c r="G39" s="16" t="str">
        <f ca="1"/>
        <v>Website</v>
      </c>
      <c r="H39" s="17">
        <f ca="1"/>
        <v>88050</v>
      </c>
      <c r="I39" s="16" t="str">
        <f ca="1"/>
        <v>IND</v>
      </c>
      <c r="J39" s="10">
        <f ca="1"/>
        <v>4.8219178082191778</v>
      </c>
      <c r="K39" s="37">
        <f ca="1"/>
        <v>2642</v>
      </c>
      <c r="L39">
        <f ca="1"/>
        <v>2</v>
      </c>
    </row>
    <row r="40" spans="1:12" x14ac:dyDescent="0.3">
      <c r="A40" s="16"/>
      <c r="B40" s="16" t="str">
        <f ca="1"/>
        <v>Godavari Veena</v>
      </c>
      <c r="C40" s="16" t="str">
        <f ca="1"/>
        <v>Female</v>
      </c>
      <c r="D40" s="16">
        <f ca="1"/>
        <v>40</v>
      </c>
      <c r="E40" s="16" t="str">
        <f ca="1"/>
        <v>Average</v>
      </c>
      <c r="F40" s="37">
        <f ca="1"/>
        <v>44276</v>
      </c>
      <c r="G40" s="16" t="str">
        <f ca="1"/>
        <v>Website</v>
      </c>
      <c r="H40" s="17">
        <f ca="1"/>
        <v>87620</v>
      </c>
      <c r="I40" s="16" t="str">
        <f ca="1"/>
        <v>IND</v>
      </c>
      <c r="J40" s="10">
        <f ca="1"/>
        <v>4.8246575342465752</v>
      </c>
      <c r="K40" s="37">
        <f ca="1"/>
        <v>2629</v>
      </c>
      <c r="L40">
        <f ca="1"/>
        <v>3</v>
      </c>
    </row>
    <row r="41" spans="1:12" x14ac:dyDescent="0.3">
      <c r="A41" s="16"/>
      <c r="B41" s="16" t="str">
        <f ca="1"/>
        <v>Andria Kimpton</v>
      </c>
      <c r="C41" s="16" t="str">
        <f ca="1"/>
        <v>Male</v>
      </c>
      <c r="D41" s="16">
        <f ca="1"/>
        <v>30</v>
      </c>
      <c r="E41" s="16" t="str">
        <f ca="1"/>
        <v>Average</v>
      </c>
      <c r="F41" s="37">
        <f ca="1"/>
        <v>44273</v>
      </c>
      <c r="G41" s="16" t="str">
        <f ca="1"/>
        <v>Website</v>
      </c>
      <c r="H41" s="17">
        <f ca="1"/>
        <v>69120</v>
      </c>
      <c r="I41" s="16" t="str">
        <f ca="1"/>
        <v>NZ</v>
      </c>
      <c r="J41" s="10">
        <f ca="1"/>
        <v>4.8328767123287673</v>
      </c>
      <c r="K41" s="37">
        <f ca="1"/>
        <v>2074</v>
      </c>
      <c r="L41">
        <f ca="1"/>
        <v>3</v>
      </c>
    </row>
    <row r="42" spans="1:12" x14ac:dyDescent="0.3">
      <c r="A42" s="16"/>
      <c r="B42" s="16" t="str">
        <f ca="1"/>
        <v>Dennison Crosswaite</v>
      </c>
      <c r="C42" s="16" t="str">
        <f ca="1"/>
        <v>Other</v>
      </c>
      <c r="D42" s="16">
        <f ca="1"/>
        <v>26</v>
      </c>
      <c r="E42" s="16" t="str">
        <f ca="1"/>
        <v>Above average</v>
      </c>
      <c r="F42" s="37">
        <f ca="1"/>
        <v>44271</v>
      </c>
      <c r="G42" s="16" t="str">
        <f ca="1"/>
        <v>Website</v>
      </c>
      <c r="H42" s="17">
        <f ca="1"/>
        <v>90700</v>
      </c>
      <c r="I42" s="16" t="str">
        <f ca="1"/>
        <v>NZ</v>
      </c>
      <c r="J42" s="10">
        <f ca="1"/>
        <v>4.838356164383562</v>
      </c>
      <c r="K42" s="37">
        <f ca="1"/>
        <v>2721</v>
      </c>
      <c r="L42">
        <f ca="1"/>
        <v>4</v>
      </c>
    </row>
    <row r="43" spans="1:12" x14ac:dyDescent="0.3">
      <c r="A43" s="16"/>
      <c r="B43" s="16" t="str">
        <f ca="1"/>
        <v>Hemavati Muthiah</v>
      </c>
      <c r="C43" s="16" t="str">
        <f ca="1"/>
        <v>Female</v>
      </c>
      <c r="D43" s="16">
        <f ca="1"/>
        <v>33</v>
      </c>
      <c r="E43" s="16" t="str">
        <f ca="1"/>
        <v>Average</v>
      </c>
      <c r="F43" s="37">
        <f ca="1"/>
        <v>44253</v>
      </c>
      <c r="G43" s="16" t="str">
        <f ca="1"/>
        <v>Website</v>
      </c>
      <c r="H43" s="17">
        <f ca="1"/>
        <v>75280</v>
      </c>
      <c r="I43" s="16" t="str">
        <f ca="1"/>
        <v>IND</v>
      </c>
      <c r="J43" s="10">
        <f ca="1"/>
        <v>4.8876712328767127</v>
      </c>
      <c r="K43" s="37">
        <f ca="1"/>
        <v>2259</v>
      </c>
      <c r="L43">
        <f ca="1"/>
        <v>3</v>
      </c>
    </row>
    <row r="44" spans="1:12" x14ac:dyDescent="0.3">
      <c r="A44" s="16"/>
      <c r="B44" s="16" t="str">
        <f ca="1"/>
        <v>Rameshwari Chikodi</v>
      </c>
      <c r="C44" s="16" t="str">
        <f ca="1"/>
        <v>Male</v>
      </c>
      <c r="D44" s="16">
        <f ca="1"/>
        <v>30</v>
      </c>
      <c r="E44" s="16" t="str">
        <f ca="1"/>
        <v>Average</v>
      </c>
      <c r="F44" s="37">
        <f ca="1"/>
        <v>44214</v>
      </c>
      <c r="G44" s="16" t="str">
        <f ca="1"/>
        <v>Website</v>
      </c>
      <c r="H44" s="17">
        <f ca="1"/>
        <v>69120</v>
      </c>
      <c r="I44" s="16" t="str">
        <f ca="1"/>
        <v>IND</v>
      </c>
      <c r="J44" s="10">
        <f ca="1"/>
        <v>4.9945205479452053</v>
      </c>
      <c r="K44" s="37">
        <f ca="1"/>
        <v>2074</v>
      </c>
      <c r="L44">
        <f ca="1"/>
        <v>3</v>
      </c>
    </row>
    <row r="45" spans="1:12" x14ac:dyDescent="0.3">
      <c r="A45" s="16"/>
      <c r="B45" s="16" t="str">
        <f ca="1"/>
        <v>Karuna Pashupathy</v>
      </c>
      <c r="C45" s="16" t="str">
        <f ca="1"/>
        <v>Other</v>
      </c>
      <c r="D45" s="16">
        <f ca="1"/>
        <v>27</v>
      </c>
      <c r="E45" s="16" t="str">
        <f ca="1"/>
        <v>Above average</v>
      </c>
      <c r="F45" s="37">
        <f ca="1"/>
        <v>44212</v>
      </c>
      <c r="G45" s="16" t="str">
        <f ca="1"/>
        <v>Website</v>
      </c>
      <c r="H45" s="17">
        <f ca="1"/>
        <v>90700</v>
      </c>
      <c r="I45" s="16" t="str">
        <f ca="1"/>
        <v>IND</v>
      </c>
      <c r="J45" s="10">
        <f ca="1"/>
        <v>5</v>
      </c>
      <c r="K45" s="37">
        <f ca="1"/>
        <v>2721</v>
      </c>
      <c r="L45">
        <f ca="1"/>
        <v>4</v>
      </c>
    </row>
    <row r="46" spans="1:12" x14ac:dyDescent="0.3">
      <c r="A46" s="16"/>
      <c r="B46" s="16" t="str">
        <f ca="1"/>
        <v>Torrance Collier</v>
      </c>
      <c r="C46" s="16" t="str">
        <f ca="1"/>
        <v>Female</v>
      </c>
      <c r="D46" s="16">
        <f ca="1"/>
        <v>33</v>
      </c>
      <c r="E46" s="16" t="str">
        <f ca="1"/>
        <v>Average</v>
      </c>
      <c r="F46" s="37">
        <f ca="1"/>
        <v>44190</v>
      </c>
      <c r="G46" s="16" t="str">
        <f ca="1"/>
        <v>Website</v>
      </c>
      <c r="H46" s="17">
        <f ca="1"/>
        <v>96140</v>
      </c>
      <c r="I46" s="16" t="str">
        <f ca="1"/>
        <v>NZ</v>
      </c>
      <c r="J46" s="10">
        <f ca="1"/>
        <v>5.0602739726027401</v>
      </c>
      <c r="K46" s="37">
        <f ca="1"/>
        <v>2885</v>
      </c>
      <c r="L46">
        <f ca="1"/>
        <v>3</v>
      </c>
    </row>
    <row r="47" spans="1:12" x14ac:dyDescent="0.3">
      <c r="A47" s="16"/>
      <c r="B47" s="16" t="str">
        <f ca="1"/>
        <v>Mollie Hanway</v>
      </c>
      <c r="C47" s="16" t="str">
        <f ca="1"/>
        <v>Male</v>
      </c>
      <c r="D47" s="16">
        <f ca="1"/>
        <v>20</v>
      </c>
      <c r="E47" s="16" t="str">
        <f ca="1"/>
        <v>Average</v>
      </c>
      <c r="F47" s="37">
        <f ca="1"/>
        <v>44183</v>
      </c>
      <c r="G47" s="16" t="str">
        <f ca="1"/>
        <v>Website</v>
      </c>
      <c r="H47" s="17">
        <f ca="1"/>
        <v>112650</v>
      </c>
      <c r="I47" s="16" t="str">
        <f ca="1"/>
        <v>NZ</v>
      </c>
      <c r="J47" s="10">
        <f ca="1"/>
        <v>5.0794520547945208</v>
      </c>
      <c r="K47" s="37">
        <f ca="1"/>
        <v>3380</v>
      </c>
      <c r="L47">
        <f ca="1"/>
        <v>3</v>
      </c>
    </row>
    <row r="48" spans="1:12" x14ac:dyDescent="0.3">
      <c r="A48" s="16"/>
      <c r="B48" s="16" t="str">
        <f ca="1"/>
        <v>Bev Lashley</v>
      </c>
      <c r="C48" s="16" t="str">
        <f ca="1"/>
        <v>Male</v>
      </c>
      <c r="D48" s="16">
        <f ca="1"/>
        <v>29</v>
      </c>
      <c r="E48" s="16" t="str">
        <f ca="1"/>
        <v>Poor</v>
      </c>
      <c r="F48" s="37">
        <f ca="1"/>
        <v>44180</v>
      </c>
      <c r="G48" s="16" t="str">
        <f ca="1"/>
        <v>Website</v>
      </c>
      <c r="H48" s="17">
        <f ca="1"/>
        <v>112110</v>
      </c>
      <c r="I48" s="16" t="str">
        <f ca="1"/>
        <v>NZ</v>
      </c>
      <c r="J48" s="10">
        <f ca="1"/>
        <v>5.087671232876712</v>
      </c>
      <c r="K48" s="37">
        <f ca="1"/>
        <v>3364</v>
      </c>
      <c r="L48">
        <f ca="1"/>
        <v>2</v>
      </c>
    </row>
    <row r="49" spans="1:12" x14ac:dyDescent="0.3">
      <c r="A49" s="16"/>
      <c r="B49" s="16" t="str">
        <f ca="1"/>
        <v>Vic Radolf</v>
      </c>
      <c r="C49" s="16" t="str">
        <f ca="1"/>
        <v>Female</v>
      </c>
      <c r="D49" s="16">
        <f ca="1"/>
        <v>24</v>
      </c>
      <c r="E49" s="16" t="str">
        <f ca="1"/>
        <v>Average</v>
      </c>
      <c r="F49" s="37">
        <f ca="1"/>
        <v>44148</v>
      </c>
      <c r="G49" s="16" t="str">
        <f ca="1"/>
        <v>Website</v>
      </c>
      <c r="H49" s="17">
        <f ca="1"/>
        <v>62780</v>
      </c>
      <c r="I49" s="16" t="str">
        <f ca="1"/>
        <v>NZ</v>
      </c>
      <c r="J49" s="10">
        <f ca="1"/>
        <v>5.1753424657534248</v>
      </c>
      <c r="K49" s="37">
        <f ca="1"/>
        <v>1884</v>
      </c>
      <c r="L49">
        <f ca="1"/>
        <v>3</v>
      </c>
    </row>
    <row r="50" spans="1:12" x14ac:dyDescent="0.3">
      <c r="A50" s="16"/>
      <c r="B50" s="16" t="str">
        <f ca="1"/>
        <v>Dotty Strutley</v>
      </c>
      <c r="C50" s="16" t="str">
        <f ca="1"/>
        <v>Female</v>
      </c>
      <c r="D50" s="16">
        <f ca="1"/>
        <v>31</v>
      </c>
      <c r="E50" s="16" t="str">
        <f ca="1"/>
        <v>Average</v>
      </c>
      <c r="F50" s="37">
        <f ca="1"/>
        <v>44145</v>
      </c>
      <c r="G50" s="16" t="str">
        <f ca="1"/>
        <v>Website</v>
      </c>
      <c r="H50" s="17">
        <f ca="1"/>
        <v>41980</v>
      </c>
      <c r="I50" s="16" t="str">
        <f ca="1"/>
        <v>NZ</v>
      </c>
      <c r="J50" s="10">
        <f ca="1"/>
        <v>5.183561643835616</v>
      </c>
      <c r="K50" s="37">
        <f ca="1"/>
        <v>1260</v>
      </c>
      <c r="L50">
        <f ca="1"/>
        <v>3</v>
      </c>
    </row>
    <row r="51" spans="1:12" x14ac:dyDescent="0.3">
      <c r="A51" s="16"/>
      <c r="B51" s="16" t="str">
        <f ca="1"/>
        <v>Sukhdev Nageshwar</v>
      </c>
      <c r="C51" s="16" t="str">
        <f ca="1"/>
        <v>Female</v>
      </c>
      <c r="D51" s="16">
        <f ca="1"/>
        <v>33</v>
      </c>
      <c r="E51" s="16" t="str">
        <f ca="1"/>
        <v>Average</v>
      </c>
      <c r="F51" s="37">
        <f ca="1"/>
        <v>44129</v>
      </c>
      <c r="G51" s="16" t="str">
        <f ca="1"/>
        <v>Website</v>
      </c>
      <c r="H51" s="17">
        <f ca="1"/>
        <v>96140</v>
      </c>
      <c r="I51" s="16" t="str">
        <f ca="1"/>
        <v>IND</v>
      </c>
      <c r="J51" s="10">
        <f ca="1"/>
        <v>5.2273972602739729</v>
      </c>
      <c r="K51" s="37">
        <f ca="1"/>
        <v>2885</v>
      </c>
      <c r="L51">
        <f ca="1"/>
        <v>3</v>
      </c>
    </row>
    <row r="52" spans="1:12" x14ac:dyDescent="0.3">
      <c r="A52" s="16"/>
      <c r="B52" s="16" t="str">
        <f ca="1"/>
        <v>Deepali Charan</v>
      </c>
      <c r="C52" s="16" t="str">
        <f ca="1"/>
        <v>Male</v>
      </c>
      <c r="D52" s="16">
        <f ca="1"/>
        <v>20</v>
      </c>
      <c r="E52" s="16" t="str">
        <f ca="1"/>
        <v>Average</v>
      </c>
      <c r="F52" s="37">
        <f ca="1"/>
        <v>44122</v>
      </c>
      <c r="G52" s="16" t="str">
        <f ca="1"/>
        <v>Website</v>
      </c>
      <c r="H52" s="17">
        <f ca="1"/>
        <v>112650</v>
      </c>
      <c r="I52" s="16" t="str">
        <f ca="1"/>
        <v>IND</v>
      </c>
      <c r="J52" s="10">
        <f ca="1"/>
        <v>5.2465753424657535</v>
      </c>
      <c r="K52" s="37">
        <f ca="1"/>
        <v>3380</v>
      </c>
      <c r="L52">
        <f ca="1"/>
        <v>3</v>
      </c>
    </row>
    <row r="53" spans="1:12" x14ac:dyDescent="0.3">
      <c r="A53" s="16"/>
      <c r="B53" s="16" t="str">
        <f ca="1"/>
        <v>Narois Motiwala</v>
      </c>
      <c r="C53" s="16" t="str">
        <f ca="1"/>
        <v>Male</v>
      </c>
      <c r="D53" s="16">
        <f ca="1"/>
        <v>29</v>
      </c>
      <c r="E53" s="16" t="str">
        <f ca="1"/>
        <v>Poor</v>
      </c>
      <c r="F53" s="37">
        <f ca="1"/>
        <v>44119</v>
      </c>
      <c r="G53" s="16" t="str">
        <f ca="1"/>
        <v>Website</v>
      </c>
      <c r="H53" s="17">
        <f ca="1"/>
        <v>112110</v>
      </c>
      <c r="I53" s="16" t="str">
        <f ca="1"/>
        <v>IND</v>
      </c>
      <c r="J53" s="10">
        <f ca="1"/>
        <v>5.2547945205479456</v>
      </c>
      <c r="K53" s="37">
        <f ca="1"/>
        <v>3364</v>
      </c>
      <c r="L53">
        <f ca="1"/>
        <v>2</v>
      </c>
    </row>
    <row r="54" spans="1:12" x14ac:dyDescent="0.3">
      <c r="A54" s="16"/>
      <c r="B54" s="16" t="str">
        <f ca="1"/>
        <v>Fullara Sushanti Mokate</v>
      </c>
      <c r="C54" s="16" t="str">
        <f ca="1"/>
        <v>Female</v>
      </c>
      <c r="D54" s="16">
        <f ca="1"/>
        <v>24</v>
      </c>
      <c r="E54" s="16" t="str">
        <f ca="1"/>
        <v>Average</v>
      </c>
      <c r="F54" s="37">
        <f ca="1"/>
        <v>44087</v>
      </c>
      <c r="G54" s="16" t="str">
        <f ca="1"/>
        <v>Website</v>
      </c>
      <c r="H54" s="17">
        <f ca="1"/>
        <v>62780</v>
      </c>
      <c r="I54" s="16" t="str">
        <f ca="1"/>
        <v>IND</v>
      </c>
      <c r="J54" s="10">
        <f ca="1"/>
        <v>5.3424657534246576</v>
      </c>
      <c r="K54" s="37">
        <f ca="1"/>
        <v>1884</v>
      </c>
      <c r="L54">
        <f ca="1"/>
        <v>3</v>
      </c>
    </row>
    <row r="55" spans="1:12" x14ac:dyDescent="0.3">
      <c r="A55" s="16"/>
      <c r="B55" s="16" t="str">
        <f ca="1"/>
        <v>Jagajeet Viraj</v>
      </c>
      <c r="C55" s="16" t="str">
        <f ca="1"/>
        <v>Female</v>
      </c>
      <c r="D55" s="16">
        <f ca="1"/>
        <v>31</v>
      </c>
      <c r="E55" s="16" t="str">
        <f ca="1"/>
        <v>Average</v>
      </c>
      <c r="F55" s="37">
        <f ca="1"/>
        <v>44084</v>
      </c>
      <c r="G55" s="16" t="str">
        <f ca="1"/>
        <v>Website</v>
      </c>
      <c r="H55" s="17">
        <f ca="1"/>
        <v>41980</v>
      </c>
      <c r="I55" s="16" t="str">
        <f ca="1"/>
        <v>IND</v>
      </c>
      <c r="J55" s="10">
        <f ca="1"/>
        <v>5.3506849315068497</v>
      </c>
      <c r="K55" s="37">
        <f ca="1"/>
        <v>1260</v>
      </c>
      <c r="L55">
        <f ca="1"/>
        <v>3</v>
      </c>
    </row>
    <row r="56" spans="1:12" x14ac:dyDescent="0.3">
      <c r="A56" s="16"/>
      <c r="B56" s="16" t="str">
        <f ca="1"/>
        <v>Niall Selesnick</v>
      </c>
      <c r="C56" s="16" t="str">
        <f ca="1"/>
        <v>Female</v>
      </c>
      <c r="D56" s="16">
        <f ca="1"/>
        <v>29</v>
      </c>
      <c r="E56" s="16" t="str">
        <f ca="1"/>
        <v>Average</v>
      </c>
      <c r="F56" s="37">
        <f ca="1"/>
        <v>44023</v>
      </c>
      <c r="G56" s="16" t="str">
        <f ca="1"/>
        <v>Website</v>
      </c>
      <c r="H56" s="17">
        <f ca="1"/>
        <v>34980</v>
      </c>
      <c r="I56" s="16" t="str">
        <f ca="1"/>
        <v>NZ</v>
      </c>
      <c r="J56" s="10">
        <f ca="1"/>
        <v>5.5178082191780824</v>
      </c>
      <c r="K56" s="37">
        <f ca="1"/>
        <v>1050</v>
      </c>
      <c r="L56">
        <f ca="1"/>
        <v>3</v>
      </c>
    </row>
    <row r="57" spans="1:12" x14ac:dyDescent="0.3">
      <c r="A57" s="16"/>
      <c r="B57" s="16" t="str">
        <f ca="1"/>
        <v>Tawnya Tickel</v>
      </c>
      <c r="C57" s="16" t="str">
        <f ca="1"/>
        <v>Male</v>
      </c>
      <c r="D57" s="16">
        <f ca="1"/>
        <v>36</v>
      </c>
      <c r="E57" s="16" t="str">
        <f ca="1"/>
        <v>Average</v>
      </c>
      <c r="F57" s="37">
        <f ca="1"/>
        <v>44019</v>
      </c>
      <c r="G57" s="16" t="str">
        <f ca="1"/>
        <v>Website</v>
      </c>
      <c r="H57" s="17">
        <f ca="1"/>
        <v>118840</v>
      </c>
      <c r="I57" s="16" t="str">
        <f ca="1"/>
        <v>NZ</v>
      </c>
      <c r="J57" s="10">
        <f ca="1"/>
        <v>5.5287671232876709</v>
      </c>
      <c r="K57" s="37">
        <f ca="1"/>
        <v>3566</v>
      </c>
      <c r="L57">
        <f ca="1"/>
        <v>3</v>
      </c>
    </row>
    <row r="58" spans="1:12" x14ac:dyDescent="0.3">
      <c r="A58" s="16"/>
      <c r="B58" s="16" t="str">
        <f ca="1"/>
        <v>Suchira Bhanupriya Tapti</v>
      </c>
      <c r="C58" s="16" t="str">
        <f ca="1"/>
        <v>Female</v>
      </c>
      <c r="D58" s="16">
        <f ca="1"/>
        <v>29</v>
      </c>
      <c r="E58" s="16" t="str">
        <f ca="1"/>
        <v>Average</v>
      </c>
      <c r="F58" s="37">
        <f ca="1"/>
        <v>43962</v>
      </c>
      <c r="G58" s="16" t="str">
        <f ca="1"/>
        <v>Website</v>
      </c>
      <c r="H58" s="17">
        <f ca="1"/>
        <v>34980</v>
      </c>
      <c r="I58" s="16" t="str">
        <f ca="1"/>
        <v>IND</v>
      </c>
      <c r="J58" s="10">
        <f ca="1"/>
        <v>5.6849315068493151</v>
      </c>
      <c r="K58" s="37">
        <f ca="1"/>
        <v>1050</v>
      </c>
      <c r="L58">
        <f ca="1"/>
        <v>3</v>
      </c>
    </row>
    <row r="59" spans="1:12" x14ac:dyDescent="0.3">
      <c r="A59" s="16"/>
      <c r="B59" s="16" t="str">
        <f ca="1"/>
        <v>Heer Pennathur</v>
      </c>
      <c r="C59" s="16" t="str">
        <f ca="1"/>
        <v>Male</v>
      </c>
      <c r="D59" s="16">
        <f ca="1"/>
        <v>36</v>
      </c>
      <c r="E59" s="16" t="str">
        <f ca="1"/>
        <v>Average</v>
      </c>
      <c r="F59" s="37">
        <f ca="1"/>
        <v>43958</v>
      </c>
      <c r="G59" s="16" t="str">
        <f ca="1"/>
        <v>Website</v>
      </c>
      <c r="H59" s="17">
        <f ca="1"/>
        <v>118840</v>
      </c>
      <c r="I59" s="16" t="str">
        <f ca="1"/>
        <v>IND</v>
      </c>
      <c r="J59" s="10">
        <f ca="1"/>
        <v>5.6958904109589037</v>
      </c>
      <c r="K59" s="37">
        <f ca="1"/>
        <v>3566</v>
      </c>
      <c r="L59">
        <f ca="1"/>
        <v>3</v>
      </c>
    </row>
    <row r="60" spans="1:12" x14ac:dyDescent="0.3">
      <c r="A60" s="16"/>
      <c r="B60" s="16" t="s">
        <v>226</v>
      </c>
      <c r="C60" s="16"/>
      <c r="D60" s="16">
        <f ca="1">AVERAGE(D6:D59)</f>
        <v>30.666666666666668</v>
      </c>
      <c r="E60" s="16"/>
      <c r="F60" s="16"/>
      <c r="G60" s="16"/>
      <c r="H60" s="17">
        <f ca="1">SUM(H6:H59)</f>
        <v>4252700</v>
      </c>
      <c r="I60" s="16"/>
      <c r="J60" s="10">
        <f ca="1">AVERAGE(J6:J59)</f>
        <v>4.4681380010147125</v>
      </c>
      <c r="K60" s="16"/>
    </row>
  </sheetData>
  <mergeCells count="3">
    <mergeCell ref="A1:A2"/>
    <mergeCell ref="B3:D4"/>
    <mergeCell ref="E3:F4"/>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782CF3B4-E67B-4C89-AEB7-820A43F0C8DB}">
          <x14:formula1>
            <xm:f>All_STAFF!$F$2:$F$184</xm:f>
          </x14:formula1>
          <xm:sqref>E3:F4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548EE-DE17-47E0-9776-07BDA5FA4EBA}">
  <sheetPr>
    <tabColor theme="7" tint="0.39997558519241921"/>
  </sheetPr>
  <dimension ref="A1:F10"/>
  <sheetViews>
    <sheetView workbookViewId="0">
      <selection activeCell="G15" sqref="G15"/>
    </sheetView>
  </sheetViews>
  <sheetFormatPr defaultRowHeight="14.4" x14ac:dyDescent="0.3"/>
  <cols>
    <col min="1" max="1" width="16" bestFit="1" customWidth="1"/>
    <col min="2" max="2" width="15.5546875" bestFit="1" customWidth="1"/>
    <col min="3" max="3" width="13.109375" bestFit="1" customWidth="1"/>
    <col min="4" max="4" width="14.109375" bestFit="1" customWidth="1"/>
    <col min="5" max="5" width="12" bestFit="1" customWidth="1"/>
    <col min="6" max="6" width="15.5546875" bestFit="1" customWidth="1"/>
    <col min="7" max="7" width="18.6640625" bestFit="1" customWidth="1"/>
    <col min="8" max="8" width="15.44140625" bestFit="1" customWidth="1"/>
  </cols>
  <sheetData>
    <row r="1" spans="1:6" x14ac:dyDescent="0.3">
      <c r="A1" s="22">
        <v>4</v>
      </c>
    </row>
    <row r="2" spans="1:6" x14ac:dyDescent="0.3">
      <c r="A2" s="22"/>
    </row>
    <row r="3" spans="1:6" x14ac:dyDescent="0.3">
      <c r="A3" s="38" t="s">
        <v>227</v>
      </c>
      <c r="B3" s="38"/>
      <c r="C3" s="38"/>
      <c r="D3" s="38"/>
      <c r="E3" s="8"/>
      <c r="F3" s="8"/>
    </row>
    <row r="4" spans="1:6" x14ac:dyDescent="0.3">
      <c r="A4" s="38"/>
      <c r="B4" s="38"/>
      <c r="C4" s="38"/>
      <c r="D4" s="38"/>
      <c r="E4" s="8"/>
      <c r="F4" s="8"/>
    </row>
    <row r="5" spans="1:6" x14ac:dyDescent="0.3">
      <c r="B5" s="39" t="s">
        <v>228</v>
      </c>
    </row>
    <row r="6" spans="1:6" x14ac:dyDescent="0.3">
      <c r="A6" s="39" t="s">
        <v>234</v>
      </c>
      <c r="B6" t="s">
        <v>8</v>
      </c>
      <c r="C6" t="s">
        <v>15</v>
      </c>
      <c r="D6" t="s">
        <v>229</v>
      </c>
    </row>
    <row r="7" spans="1:6" x14ac:dyDescent="0.3">
      <c r="A7" s="21" t="s">
        <v>233</v>
      </c>
      <c r="B7" s="6">
        <v>86</v>
      </c>
      <c r="C7" s="6">
        <v>89</v>
      </c>
      <c r="D7" s="6">
        <v>175</v>
      </c>
    </row>
    <row r="8" spans="1:6" x14ac:dyDescent="0.3">
      <c r="A8" s="21" t="s">
        <v>232</v>
      </c>
      <c r="B8" s="9">
        <v>31.406976744186046</v>
      </c>
      <c r="C8" s="9">
        <v>29.393258426966291</v>
      </c>
      <c r="D8" s="9">
        <v>30.382857142857144</v>
      </c>
    </row>
    <row r="9" spans="1:6" x14ac:dyDescent="0.3">
      <c r="A9" s="21" t="s">
        <v>230</v>
      </c>
      <c r="B9" s="5">
        <v>6732440</v>
      </c>
      <c r="C9" s="5">
        <v>6667450</v>
      </c>
      <c r="D9" s="5">
        <v>13399890</v>
      </c>
    </row>
    <row r="10" spans="1:6" x14ac:dyDescent="0.3">
      <c r="A10" s="21" t="s">
        <v>235</v>
      </c>
      <c r="B10" s="9">
        <v>4.3970054157374969</v>
      </c>
      <c r="C10" s="9">
        <v>4.3879021086655383</v>
      </c>
      <c r="D10" s="9">
        <v>4.3923757338551868</v>
      </c>
    </row>
  </sheetData>
  <mergeCells count="3">
    <mergeCell ref="A1:A2"/>
    <mergeCell ref="A3:D4"/>
    <mergeCell ref="E3:F4"/>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3C747-1A81-4E70-9867-92C3D6E2680D}">
  <sheetPr>
    <tabColor theme="7" tint="0.39997558519241921"/>
  </sheetPr>
  <dimension ref="A1"/>
  <sheetViews>
    <sheetView workbookViewId="0">
      <selection activeCell="N20" sqref="N20"/>
    </sheetView>
  </sheetViews>
  <sheetFormatPr defaultRowHeight="14.4" x14ac:dyDescent="0.3"/>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5A80C-BB48-4548-A560-37FC198A432E}">
  <sheetPr>
    <tabColor theme="7" tint="0.39997558519241921"/>
  </sheetPr>
  <dimension ref="A1:F7"/>
  <sheetViews>
    <sheetView workbookViewId="0">
      <selection activeCell="L5" sqref="L5"/>
    </sheetView>
  </sheetViews>
  <sheetFormatPr defaultRowHeight="14.4" x14ac:dyDescent="0.3"/>
  <cols>
    <col min="1" max="1" width="13.109375" bestFit="1" customWidth="1"/>
    <col min="2" max="2" width="13.88671875" bestFit="1" customWidth="1"/>
    <col min="3" max="3" width="15.77734375" bestFit="1" customWidth="1"/>
    <col min="5" max="5" width="13.109375" bestFit="1" customWidth="1"/>
    <col min="6" max="6" width="13.21875" bestFit="1" customWidth="1"/>
  </cols>
  <sheetData>
    <row r="1" spans="1:6" x14ac:dyDescent="0.3">
      <c r="A1" s="39" t="s">
        <v>231</v>
      </c>
      <c r="B1" t="s">
        <v>233</v>
      </c>
      <c r="C1" t="s">
        <v>238</v>
      </c>
      <c r="E1" s="45" t="s">
        <v>6</v>
      </c>
      <c r="F1" s="45" t="s">
        <v>239</v>
      </c>
    </row>
    <row r="2" spans="1:6" x14ac:dyDescent="0.3">
      <c r="A2" s="21" t="s">
        <v>10</v>
      </c>
      <c r="B2" s="6">
        <v>2</v>
      </c>
      <c r="C2" s="5">
        <v>92080</v>
      </c>
      <c r="E2" s="23" t="s">
        <v>10</v>
      </c>
      <c r="F2" s="16">
        <v>5</v>
      </c>
    </row>
    <row r="3" spans="1:6" x14ac:dyDescent="0.3">
      <c r="A3" s="21" t="s">
        <v>13</v>
      </c>
      <c r="B3" s="6">
        <v>15</v>
      </c>
      <c r="C3" s="5">
        <v>72953.333333333328</v>
      </c>
      <c r="E3" s="23" t="s">
        <v>13</v>
      </c>
      <c r="F3" s="16">
        <v>4</v>
      </c>
    </row>
    <row r="4" spans="1:6" x14ac:dyDescent="0.3">
      <c r="A4" s="21" t="s">
        <v>16</v>
      </c>
      <c r="B4" s="6">
        <v>82</v>
      </c>
      <c r="C4" s="5">
        <v>78746.463414634141</v>
      </c>
      <c r="E4" s="23" t="s">
        <v>16</v>
      </c>
      <c r="F4" s="16">
        <v>3</v>
      </c>
    </row>
    <row r="5" spans="1:6" x14ac:dyDescent="0.3">
      <c r="A5" s="21" t="s">
        <v>24</v>
      </c>
      <c r="B5" s="6">
        <v>10</v>
      </c>
      <c r="C5" s="5">
        <v>78999</v>
      </c>
      <c r="E5" s="23" t="s">
        <v>24</v>
      </c>
      <c r="F5" s="16">
        <v>2</v>
      </c>
    </row>
    <row r="6" spans="1:6" x14ac:dyDescent="0.3">
      <c r="A6" s="21" t="s">
        <v>42</v>
      </c>
      <c r="B6" s="6">
        <v>3</v>
      </c>
      <c r="C6" s="5">
        <v>77423.333333333328</v>
      </c>
      <c r="E6" s="23" t="s">
        <v>42</v>
      </c>
      <c r="F6" s="16">
        <v>1</v>
      </c>
    </row>
    <row r="7" spans="1:6" x14ac:dyDescent="0.3">
      <c r="A7" s="21" t="s">
        <v>229</v>
      </c>
      <c r="B7" s="6">
        <v>112</v>
      </c>
      <c r="C7" s="5">
        <v>78195.803571428565</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CA653F-C91A-40CE-8ABA-02D0212AA752}">
  <sheetPr>
    <tabColor theme="7" tint="0.39997558519241921"/>
  </sheetPr>
  <dimension ref="B1:C14"/>
  <sheetViews>
    <sheetView workbookViewId="0">
      <selection activeCell="C17" sqref="C17"/>
    </sheetView>
  </sheetViews>
  <sheetFormatPr defaultRowHeight="14.4" x14ac:dyDescent="0.3"/>
  <cols>
    <col min="2" max="2" width="12.5546875" bestFit="1" customWidth="1"/>
    <col min="3" max="3" width="13.88671875" bestFit="1" customWidth="1"/>
  </cols>
  <sheetData>
    <row r="1" spans="2:3" x14ac:dyDescent="0.3">
      <c r="B1" s="39" t="s">
        <v>231</v>
      </c>
      <c r="C1" t="s">
        <v>233</v>
      </c>
    </row>
    <row r="2" spans="2:3" x14ac:dyDescent="0.3">
      <c r="B2" s="21" t="s">
        <v>241</v>
      </c>
      <c r="C2" s="6"/>
    </row>
    <row r="3" spans="2:3" x14ac:dyDescent="0.3">
      <c r="B3" s="47" t="s">
        <v>242</v>
      </c>
      <c r="C3" s="6">
        <v>5</v>
      </c>
    </row>
    <row r="4" spans="2:3" x14ac:dyDescent="0.3">
      <c r="B4" s="47" t="s">
        <v>243</v>
      </c>
      <c r="C4" s="6">
        <v>1</v>
      </c>
    </row>
    <row r="5" spans="2:3" x14ac:dyDescent="0.3">
      <c r="B5" s="47" t="s">
        <v>244</v>
      </c>
      <c r="C5" s="6">
        <v>3</v>
      </c>
    </row>
    <row r="6" spans="2:3" x14ac:dyDescent="0.3">
      <c r="B6" s="47" t="s">
        <v>245</v>
      </c>
      <c r="C6" s="6">
        <v>2</v>
      </c>
    </row>
    <row r="7" spans="2:3" x14ac:dyDescent="0.3">
      <c r="B7" s="47" t="s">
        <v>246</v>
      </c>
      <c r="C7" s="6">
        <v>5</v>
      </c>
    </row>
    <row r="8" spans="2:3" x14ac:dyDescent="0.3">
      <c r="B8" s="47" t="s">
        <v>247</v>
      </c>
      <c r="C8" s="6">
        <v>5</v>
      </c>
    </row>
    <row r="9" spans="2:3" x14ac:dyDescent="0.3">
      <c r="B9" s="47" t="s">
        <v>248</v>
      </c>
      <c r="C9" s="6">
        <v>3</v>
      </c>
    </row>
    <row r="10" spans="2:3" x14ac:dyDescent="0.3">
      <c r="B10" s="47" t="s">
        <v>249</v>
      </c>
      <c r="C10" s="6">
        <v>3</v>
      </c>
    </row>
    <row r="11" spans="2:3" x14ac:dyDescent="0.3">
      <c r="B11" s="21" t="s">
        <v>250</v>
      </c>
      <c r="C11" s="6">
        <v>49</v>
      </c>
    </row>
    <row r="12" spans="2:3" x14ac:dyDescent="0.3">
      <c r="B12" s="21" t="s">
        <v>251</v>
      </c>
      <c r="C12" s="6">
        <v>35</v>
      </c>
    </row>
    <row r="13" spans="2:3" x14ac:dyDescent="0.3">
      <c r="B13" s="21" t="s">
        <v>252</v>
      </c>
      <c r="C13" s="6">
        <v>1</v>
      </c>
    </row>
    <row r="14" spans="2:3" x14ac:dyDescent="0.3">
      <c r="B14" s="21" t="s">
        <v>229</v>
      </c>
      <c r="C14" s="6">
        <v>112</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0F23C-FFCD-48CA-8F6A-A3055D6BEBC9}">
  <sheetPr>
    <tabColor theme="9" tint="-0.249977111117893"/>
  </sheetPr>
  <dimension ref="H5:R25"/>
  <sheetViews>
    <sheetView showGridLines="0" zoomScale="70" zoomScaleNormal="70" workbookViewId="0">
      <selection activeCell="J2" sqref="J2"/>
    </sheetView>
  </sheetViews>
  <sheetFormatPr defaultRowHeight="14.4" x14ac:dyDescent="0.3"/>
  <cols>
    <col min="7" max="7" width="3.77734375" customWidth="1"/>
    <col min="8" max="8" width="15.77734375" customWidth="1"/>
    <col min="9" max="9" width="1.88671875" customWidth="1"/>
    <col min="10" max="10" width="15.77734375" customWidth="1"/>
    <col min="11" max="11" width="1.6640625" customWidth="1"/>
    <col min="12" max="12" width="15.77734375" customWidth="1"/>
    <col min="13" max="13" width="2.21875" customWidth="1"/>
    <col min="14" max="14" width="15.77734375" customWidth="1"/>
    <col min="15" max="15" width="1.88671875" customWidth="1"/>
    <col min="16" max="16" width="15.77734375" customWidth="1"/>
    <col min="17" max="17" width="1.6640625" customWidth="1"/>
    <col min="18" max="18" width="15.77734375" customWidth="1"/>
  </cols>
  <sheetData>
    <row r="5" spans="8:18" x14ac:dyDescent="0.3">
      <c r="H5" s="56" t="s">
        <v>254</v>
      </c>
      <c r="I5" s="56"/>
      <c r="J5" s="56"/>
      <c r="K5" s="56"/>
      <c r="L5" s="56"/>
      <c r="M5" s="56"/>
      <c r="N5" s="56"/>
      <c r="O5" s="56"/>
      <c r="P5" s="56"/>
      <c r="Q5" s="56"/>
      <c r="R5" s="56"/>
    </row>
    <row r="6" spans="8:18" ht="13.8" customHeight="1" x14ac:dyDescent="0.3">
      <c r="H6" s="56"/>
      <c r="I6" s="56"/>
      <c r="J6" s="56"/>
      <c r="K6" s="56"/>
      <c r="L6" s="56"/>
      <c r="M6" s="56"/>
      <c r="N6" s="56"/>
      <c r="O6" s="56"/>
      <c r="P6" s="56"/>
      <c r="Q6" s="56"/>
      <c r="R6" s="56"/>
    </row>
    <row r="7" spans="8:18" ht="83.4" customHeight="1" x14ac:dyDescent="0.3">
      <c r="H7" s="52">
        <f>COUNTIF(All_Staff[Country],"NZ")</f>
        <v>91</v>
      </c>
      <c r="J7" s="48">
        <f>COUNTIFS(All_Staff[Country],"NZ",All_Staff[Gender], "Female")/H7</f>
        <v>0.47252747252747251</v>
      </c>
      <c r="L7" s="49">
        <f>AVERAGEIFS(All_Staff[Salary],All_Staff[Country],"NZ")</f>
        <v>76978.791208791212</v>
      </c>
      <c r="N7" s="53">
        <f>COUNTIF(All_Staff[Country],"IND")</f>
        <v>92</v>
      </c>
      <c r="P7" s="51">
        <f>COUNTIFS(All_Staff[Country],"IND",All_Staff[Gender], "Female")/N7</f>
        <v>0.46739130434782611</v>
      </c>
      <c r="R7" s="50">
        <f>AVERAGEIFS(All_Staff[Salary],All_Staff[Country],"IND")</f>
        <v>77366.521739130432</v>
      </c>
    </row>
    <row r="8" spans="8:18" ht="43.2" customHeight="1" thickBot="1" x14ac:dyDescent="0.8">
      <c r="H8" s="55" t="s">
        <v>256</v>
      </c>
      <c r="I8" s="55"/>
      <c r="J8" s="55"/>
      <c r="K8" s="55"/>
      <c r="L8" s="55"/>
      <c r="N8" s="54" t="s">
        <v>255</v>
      </c>
      <c r="O8" s="54"/>
      <c r="P8" s="54"/>
      <c r="Q8" s="54"/>
      <c r="R8" s="54"/>
    </row>
    <row r="9" spans="8:18" x14ac:dyDescent="0.3">
      <c r="H9" s="29"/>
      <c r="I9" s="30"/>
      <c r="J9" s="30"/>
      <c r="K9" s="30"/>
      <c r="L9" s="31"/>
      <c r="N9" s="29"/>
      <c r="O9" s="30"/>
      <c r="P9" s="30"/>
      <c r="Q9" s="30"/>
      <c r="R9" s="31"/>
    </row>
    <row r="10" spans="8:18" x14ac:dyDescent="0.3">
      <c r="H10" s="32"/>
      <c r="I10" s="12"/>
      <c r="J10" s="12"/>
      <c r="K10" s="12"/>
      <c r="L10" s="33"/>
      <c r="N10" s="32"/>
      <c r="O10" s="12"/>
      <c r="P10" s="12"/>
      <c r="Q10" s="12"/>
      <c r="R10" s="33"/>
    </row>
    <row r="11" spans="8:18" x14ac:dyDescent="0.3">
      <c r="H11" s="32"/>
      <c r="I11" s="12"/>
      <c r="J11" s="12"/>
      <c r="K11" s="12"/>
      <c r="L11" s="33"/>
      <c r="N11" s="32"/>
      <c r="O11" s="12"/>
      <c r="P11" s="12"/>
      <c r="Q11" s="12"/>
      <c r="R11" s="33"/>
    </row>
    <row r="12" spans="8:18" x14ac:dyDescent="0.3">
      <c r="H12" s="32"/>
      <c r="I12" s="12"/>
      <c r="J12" s="12"/>
      <c r="K12" s="12"/>
      <c r="L12" s="33"/>
      <c r="N12" s="32"/>
      <c r="O12" s="12"/>
      <c r="P12" s="12"/>
      <c r="Q12" s="12"/>
      <c r="R12" s="33"/>
    </row>
    <row r="13" spans="8:18" x14ac:dyDescent="0.3">
      <c r="H13" s="32"/>
      <c r="I13" s="12"/>
      <c r="J13" s="12"/>
      <c r="K13" s="12"/>
      <c r="L13" s="33"/>
      <c r="N13" s="32"/>
      <c r="O13" s="12"/>
      <c r="P13" s="12"/>
      <c r="Q13" s="12"/>
      <c r="R13" s="33"/>
    </row>
    <row r="14" spans="8:18" x14ac:dyDescent="0.3">
      <c r="H14" s="32"/>
      <c r="I14" s="12"/>
      <c r="J14" s="12"/>
      <c r="K14" s="12"/>
      <c r="L14" s="33"/>
      <c r="N14" s="32"/>
      <c r="O14" s="12"/>
      <c r="P14" s="12"/>
      <c r="Q14" s="12"/>
      <c r="R14" s="33"/>
    </row>
    <row r="15" spans="8:18" x14ac:dyDescent="0.3">
      <c r="H15" s="32"/>
      <c r="I15" s="12"/>
      <c r="J15" s="12"/>
      <c r="K15" s="12"/>
      <c r="L15" s="33"/>
      <c r="N15" s="32"/>
      <c r="O15" s="12"/>
      <c r="P15" s="12"/>
      <c r="Q15" s="12"/>
      <c r="R15" s="33"/>
    </row>
    <row r="16" spans="8:18" x14ac:dyDescent="0.3">
      <c r="H16" s="32"/>
      <c r="I16" s="12"/>
      <c r="J16" s="12"/>
      <c r="K16" s="12"/>
      <c r="L16" s="33"/>
      <c r="N16" s="32"/>
      <c r="O16" s="12"/>
      <c r="P16" s="12"/>
      <c r="Q16" s="12"/>
      <c r="R16" s="33"/>
    </row>
    <row r="17" spans="8:18" x14ac:dyDescent="0.3">
      <c r="H17" s="32"/>
      <c r="I17" s="12"/>
      <c r="J17" s="12"/>
      <c r="K17" s="12"/>
      <c r="L17" s="33"/>
      <c r="N17" s="32"/>
      <c r="O17" s="12"/>
      <c r="P17" s="12"/>
      <c r="Q17" s="12"/>
      <c r="R17" s="33"/>
    </row>
    <row r="18" spans="8:18" x14ac:dyDescent="0.3">
      <c r="H18" s="32"/>
      <c r="I18" s="12"/>
      <c r="J18" s="12"/>
      <c r="K18" s="12"/>
      <c r="L18" s="33"/>
      <c r="N18" s="32"/>
      <c r="O18" s="12"/>
      <c r="P18" s="12"/>
      <c r="Q18" s="12"/>
      <c r="R18" s="33"/>
    </row>
    <row r="19" spans="8:18" x14ac:dyDescent="0.3">
      <c r="H19" s="32"/>
      <c r="I19" s="12"/>
      <c r="J19" s="12"/>
      <c r="K19" s="12"/>
      <c r="L19" s="33"/>
      <c r="N19" s="32"/>
      <c r="O19" s="12"/>
      <c r="P19" s="12"/>
      <c r="Q19" s="12"/>
      <c r="R19" s="33"/>
    </row>
    <row r="20" spans="8:18" x14ac:dyDescent="0.3">
      <c r="H20" s="32"/>
      <c r="I20" s="12"/>
      <c r="J20" s="12"/>
      <c r="K20" s="12"/>
      <c r="L20" s="33"/>
      <c r="N20" s="32"/>
      <c r="O20" s="12"/>
      <c r="P20" s="12"/>
      <c r="Q20" s="12"/>
      <c r="R20" s="33"/>
    </row>
    <row r="21" spans="8:18" x14ac:dyDescent="0.3">
      <c r="H21" s="32"/>
      <c r="I21" s="12"/>
      <c r="J21" s="12"/>
      <c r="K21" s="12"/>
      <c r="L21" s="33"/>
      <c r="N21" s="32"/>
      <c r="O21" s="12"/>
      <c r="P21" s="12"/>
      <c r="Q21" s="12"/>
      <c r="R21" s="33"/>
    </row>
    <row r="22" spans="8:18" x14ac:dyDescent="0.3">
      <c r="H22" s="32"/>
      <c r="I22" s="12"/>
      <c r="J22" s="12"/>
      <c r="K22" s="12"/>
      <c r="L22" s="33"/>
      <c r="N22" s="32"/>
      <c r="O22" s="12"/>
      <c r="P22" s="12"/>
      <c r="Q22" s="12"/>
      <c r="R22" s="33"/>
    </row>
    <row r="23" spans="8:18" x14ac:dyDescent="0.3">
      <c r="H23" s="32"/>
      <c r="I23" s="12"/>
      <c r="J23" s="12"/>
      <c r="K23" s="12"/>
      <c r="L23" s="33"/>
      <c r="N23" s="32"/>
      <c r="O23" s="12"/>
      <c r="P23" s="12"/>
      <c r="Q23" s="12"/>
      <c r="R23" s="33"/>
    </row>
    <row r="24" spans="8:18" x14ac:dyDescent="0.3">
      <c r="H24" s="32"/>
      <c r="I24" s="12"/>
      <c r="J24" s="12"/>
      <c r="K24" s="12"/>
      <c r="L24" s="33"/>
      <c r="N24" s="32"/>
      <c r="O24" s="12"/>
      <c r="P24" s="12"/>
      <c r="Q24" s="12"/>
      <c r="R24" s="33"/>
    </row>
    <row r="25" spans="8:18" ht="15" thickBot="1" x14ac:dyDescent="0.35">
      <c r="H25" s="34"/>
      <c r="I25" s="35"/>
      <c r="J25" s="35"/>
      <c r="K25" s="35"/>
      <c r="L25" s="36"/>
      <c r="N25" s="34"/>
      <c r="O25" s="35"/>
      <c r="P25" s="35"/>
      <c r="Q25" s="35"/>
      <c r="R25" s="36"/>
    </row>
  </sheetData>
  <mergeCells count="3">
    <mergeCell ref="H5:R6"/>
    <mergeCell ref="H8:L8"/>
    <mergeCell ref="N8:R8"/>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704FB6-B964-4E4B-B55A-4A9BDA85AE80}">
  <sheetPr>
    <tabColor rgb="FFFFC000"/>
  </sheetPr>
  <dimension ref="B1:I9"/>
  <sheetViews>
    <sheetView workbookViewId="0">
      <selection activeCell="P3" sqref="P3"/>
    </sheetView>
  </sheetViews>
  <sheetFormatPr defaultRowHeight="14.4" x14ac:dyDescent="0.3"/>
  <cols>
    <col min="2" max="2" width="12.5546875" bestFit="1" customWidth="1"/>
    <col min="3" max="3" width="13.88671875" bestFit="1" customWidth="1"/>
    <col min="5" max="5" width="12.5546875" bestFit="1" customWidth="1"/>
    <col min="6" max="6" width="13.88671875" bestFit="1" customWidth="1"/>
    <col min="8" max="8" width="12.5546875" bestFit="1" customWidth="1"/>
    <col min="9" max="9" width="13.88671875" bestFit="1" customWidth="1"/>
  </cols>
  <sheetData>
    <row r="1" spans="2:9" x14ac:dyDescent="0.3">
      <c r="B1" s="39" t="s">
        <v>204</v>
      </c>
      <c r="C1" t="s" vm="1">
        <v>253</v>
      </c>
      <c r="E1" s="39" t="s">
        <v>204</v>
      </c>
      <c r="F1" t="s" vm="1">
        <v>253</v>
      </c>
      <c r="H1" s="39" t="s">
        <v>204</v>
      </c>
      <c r="I1" t="s" vm="1">
        <v>253</v>
      </c>
    </row>
    <row r="3" spans="2:9" x14ac:dyDescent="0.3">
      <c r="B3" s="39" t="s">
        <v>231</v>
      </c>
      <c r="C3" t="s">
        <v>233</v>
      </c>
      <c r="E3" s="39" t="s">
        <v>231</v>
      </c>
      <c r="F3" t="s">
        <v>233</v>
      </c>
      <c r="H3" s="39" t="s">
        <v>231</v>
      </c>
      <c r="I3" t="s">
        <v>233</v>
      </c>
    </row>
    <row r="4" spans="2:9" x14ac:dyDescent="0.3">
      <c r="B4" s="21" t="s">
        <v>21</v>
      </c>
      <c r="C4" s="6">
        <v>38</v>
      </c>
      <c r="E4" s="21" t="s">
        <v>9</v>
      </c>
      <c r="F4" s="6">
        <v>55</v>
      </c>
      <c r="H4" s="21" t="s">
        <v>9</v>
      </c>
      <c r="I4" s="6">
        <v>55</v>
      </c>
    </row>
    <row r="5" spans="2:9" x14ac:dyDescent="0.3">
      <c r="B5" s="21" t="s">
        <v>56</v>
      </c>
      <c r="C5" s="6">
        <v>8</v>
      </c>
      <c r="E5" s="21" t="s">
        <v>12</v>
      </c>
      <c r="F5" s="6">
        <v>54</v>
      </c>
      <c r="H5" s="21" t="s">
        <v>12</v>
      </c>
      <c r="I5" s="6">
        <v>54</v>
      </c>
    </row>
    <row r="6" spans="2:9" x14ac:dyDescent="0.3">
      <c r="B6" s="21" t="s">
        <v>9</v>
      </c>
      <c r="C6" s="6">
        <v>55</v>
      </c>
      <c r="E6" s="21" t="s">
        <v>21</v>
      </c>
      <c r="F6" s="6">
        <v>38</v>
      </c>
      <c r="H6" s="21" t="s">
        <v>21</v>
      </c>
      <c r="I6" s="6">
        <v>38</v>
      </c>
    </row>
    <row r="7" spans="2:9" x14ac:dyDescent="0.3">
      <c r="B7" s="21" t="s">
        <v>19</v>
      </c>
      <c r="C7" s="6">
        <v>28</v>
      </c>
      <c r="E7" s="21" t="s">
        <v>19</v>
      </c>
      <c r="F7" s="6">
        <v>28</v>
      </c>
      <c r="H7" s="21" t="s">
        <v>19</v>
      </c>
      <c r="I7" s="6">
        <v>28</v>
      </c>
    </row>
    <row r="8" spans="2:9" x14ac:dyDescent="0.3">
      <c r="B8" s="21" t="s">
        <v>12</v>
      </c>
      <c r="C8" s="6">
        <v>54</v>
      </c>
      <c r="E8" s="21" t="s">
        <v>56</v>
      </c>
      <c r="F8" s="6">
        <v>8</v>
      </c>
      <c r="H8" s="21" t="s">
        <v>56</v>
      </c>
      <c r="I8" s="6">
        <v>8</v>
      </c>
    </row>
    <row r="9" spans="2:9" x14ac:dyDescent="0.3">
      <c r="B9" s="21" t="s">
        <v>229</v>
      </c>
      <c r="C9" s="6">
        <v>183</v>
      </c>
      <c r="E9" s="21" t="s">
        <v>229</v>
      </c>
      <c r="F9" s="6">
        <v>183</v>
      </c>
      <c r="H9" s="21" t="s">
        <v>229</v>
      </c>
      <c r="I9" s="6">
        <v>183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8C40B41-A8F9-4200-BBE1-CA8E19AAA32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Nz_Staff</vt:lpstr>
      <vt:lpstr>India_Staff</vt:lpstr>
      <vt:lpstr>All_STAFF</vt:lpstr>
      <vt:lpstr>Info_Founder_2.0</vt:lpstr>
      <vt:lpstr>Male Vs. Female</vt:lpstr>
      <vt:lpstr>Salary_Spread</vt:lpstr>
      <vt:lpstr>Salary Vs Rating</vt:lpstr>
      <vt:lpstr>Employee_Trend</vt:lpstr>
      <vt:lpstr>Report_Cart</vt:lpstr>
      <vt:lpstr>Pivot_Tables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Derry Hill</dc:creator>
  <cp:lastModifiedBy>Bhagabata Brahma</cp:lastModifiedBy>
  <dcterms:created xsi:type="dcterms:W3CDTF">2021-03-14T20:21:32Z</dcterms:created>
  <dcterms:modified xsi:type="dcterms:W3CDTF">2026-01-15T14:34:55Z</dcterms:modified>
</cp:coreProperties>
</file>